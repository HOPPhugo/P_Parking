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P_parking\fichiers\"/>
    </mc:Choice>
  </mc:AlternateContent>
  <xr:revisionPtr revIDLastSave="0" documentId="13_ncr:1_{6BBB9D41-D499-4D45-A238-135EE8B35E1F}" xr6:coauthVersionLast="47" xr6:coauthVersionMax="47" xr10:uidLastSave="{00000000-0000-0000-0000-000000000000}"/>
  <bookViews>
    <workbookView xWindow="2640" yWindow="2640" windowWidth="21600" windowHeight="1129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<sst xmlns="http://schemas.openxmlformats.org/spreadsheetml/2006/main" count="55" uniqueCount="40">
  <si>
    <t>Journal de travail</t>
  </si>
  <si>
    <t>Auteur:</t>
  </si>
  <si>
    <t>Schweizer Hugo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</si>
  <si>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</si>
  <si>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</si>
  <si>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</si>
  <si>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</si>
  <si>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</si>
  <si>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</si>
  <si>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</si>
  <si>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</si>
  <si>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</si>
  <si>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</si>
  <si>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</si>
  <si>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</si>
  <si>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Test</t>
  </si>
  <si>
    <t>Implémentation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</si>
  <si>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</si>
  <si>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</si>
  <si>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</si>
  <si>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</si>
  <si>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</si>
  <si>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</si>
  <si>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</si>
  <si>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</si>
  <si>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</si>
  <si>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</si>
  <si>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</si>
  <si>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</si>
  <si>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</si>
  <si>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P_Parking</t>
  </si>
  <si>
    <t>28.08.2026 au 30.10.2026 - P_Parking</t>
  </si>
  <si>
    <t>Introduction au module</t>
  </si>
  <si>
    <t>Completion du rapport</t>
  </si>
  <si>
    <t>Remplissage de la planification</t>
  </si>
  <si>
    <t>J'ai aidé un camarade pour github DeskTop</t>
  </si>
  <si>
    <t>Planification finie</t>
  </si>
  <si>
    <t>Initialisation C# terminée (Imaginer et créer l'interface utilisateur pour pouvoir y afficher les données dès qu'elles seront utilisables.)</t>
  </si>
  <si>
    <t>Interface utilisateur finie (Avec de fausses données, il faut simplement les remplacer)</t>
  </si>
  <si>
    <t>J'ai créé et initailisé toutes les classes nécessaires (tous leurs attributs, et leur concepteur)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</si>
</sst>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60</c:v>
                </c:pt>
                <c:pt idx="1">
                  <c:v>150</c:v>
                </c:pt>
                <c:pt idx="2">
                  <c:v>0</c:v>
                </c:pt>
                <c:pt idx="3">
                  <c:v>135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0.17391304347826086</c:v>
                </c:pt>
                <c:pt idx="1">
                  <c:v>0.43478260869565216</c:v>
                </c:pt>
                <c:pt idx="2">
                  <c:v>0</c:v>
                </c:pt>
                <c:pt idx="3">
                  <c:v>0.39130434782608697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C1" zoomScale="115" zoomScaleNormal="115" workbookViewId="0">
      <pane ySplit="6" topLeftCell="A7" activePane="bottomLeft" state="frozen"/>
      <selection pane="bottomLeft" activeCell="F16" sqref="F16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6 heures 15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180</v>
      </c>
      <c r="D4" s="17">
        <f>SUBTOTAL(9,$D$7:$D$531)</f>
        <v>195</v>
      </c>
      <c r="E4" s="24">
        <f>SUM(C4:D4)</f>
        <v>375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46262</v>
      </c>
      <c r="C7" s="27">
        <v>1</v>
      </c>
      <c r="D7" s="28">
        <v>0</v>
      </c>
      <c r="E7" s="29" t="s">
        <v>14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46262</v>
      </c>
      <c r="C8" s="31">
        <v>1</v>
      </c>
      <c r="D8" s="32">
        <v>0</v>
      </c>
      <c r="E8" s="33" t="s">
        <v>17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46262</v>
      </c>
      <c r="C9" s="35"/>
      <c r="D9" s="36">
        <v>30</v>
      </c>
      <c r="E9" s="37" t="s">
        <v>17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46262</v>
      </c>
      <c r="C10" s="31"/>
      <c r="D10" s="32">
        <v>30</v>
      </c>
      <c r="E10" s="33"/>
      <c r="F10" s="23" t="s">
        <v>35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35</v>
      </c>
      <c r="B11" s="34">
        <v>46262</v>
      </c>
      <c r="C11" s="35"/>
      <c r="D11" s="36">
        <v>30</v>
      </c>
      <c r="E11" s="37" t="s">
        <v>17</v>
      </c>
      <c r="F11" s="23" t="s">
        <v>34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46269</v>
      </c>
      <c r="C12" s="31"/>
      <c r="D12" s="32">
        <v>15</v>
      </c>
      <c r="E12" s="33" t="s">
        <v>17</v>
      </c>
      <c r="F12" s="23" t="s">
        <v>36</v>
      </c>
      <c r="G12" s="39"/>
      <c r="M12" t="s">
        <v>18</v>
      </c>
      <c r="N12">
        <v>5</v>
      </c>
      <c r="O12">
        <v>20</v>
      </c>
    </row>
    <row r="13" spans="1:15" ht="31.5" x14ac:dyDescent="0.25">
      <c r="A13" s="63" t="str">
        <f>IF(ISBLANK(B13),"",_xlfn.ISOWEEKNUM('Journal de travail'!$B13))</f>
        <v/>
      </c>
      <c r="B13" s="34"/>
      <c r="C13" s="35"/>
      <c r="D13" s="36">
        <v>30</v>
      </c>
      <c r="E13" s="37" t="s">
        <v>16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>
        <v>30</v>
      </c>
      <c r="E14" s="33" t="s">
        <v>16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>
        <v>1</v>
      </c>
      <c r="D15" s="36">
        <v>30</v>
      </c>
      <c r="E15" s="37" t="s">
        <v>16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G8" sqref="G8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88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0</v>
      </c>
      <c r="C6">
        <f t="shared" ref="C6:C10" si="0">SUM(A6:B6)</f>
        <v>60</v>
      </c>
      <c r="E6" s="70" t="str">
        <f>'Journal de travail'!M8</f>
        <v>Analyse</v>
      </c>
      <c r="F6" s="71" t="str">
        <f>QUOTIENT(SUM(A6:B6),60)&amp;" h "&amp;TEXT(MOD(SUM(A6:B6),60), "00")&amp;" min"</f>
        <v>1 h 00 min</v>
      </c>
      <c r="G6" s="72">
        <f>SUM(A6:B6)/$C$11</f>
        <v>0.17391304347826086</v>
      </c>
      <c r="L6" s="51" t="str">
        <f>'Journal de travail'!M8</f>
        <v>Analyse</v>
      </c>
      <c r="M6" s="52" t="str">
        <f>INT($F$2*N6)&amp;" h "&amp;TEXT(ROUND(MOD($F$2*N6,1)*60,0),"00")&amp;" m"</f>
        <v>17 h 36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90</v>
      </c>
      <c r="C7">
        <f t="shared" si="0"/>
        <v>150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 h 30 min</v>
      </c>
      <c r="G7" s="75">
        <f t="shared" ref="G7:G9" si="2">SUM(A7:B7)/$C$11</f>
        <v>0.43478260869565216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44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8 h 48 m</v>
      </c>
      <c r="N8" s="58">
        <v>0.1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75</v>
      </c>
      <c r="C9">
        <f t="shared" si="0"/>
        <v>135</v>
      </c>
      <c r="E9" s="77" t="str">
        <f>'Journal de travail'!M11</f>
        <v>Documentation</v>
      </c>
      <c r="F9" s="74" t="str">
        <f t="shared" si="1"/>
        <v>2 h 15 min</v>
      </c>
      <c r="G9" s="75">
        <f t="shared" si="2"/>
        <v>0.39130434782608697</v>
      </c>
      <c r="L9" s="55" t="str">
        <f>'Journal de travail'!M11</f>
        <v>Documentation</v>
      </c>
      <c r="M9" s="52" t="str">
        <f t="shared" si="3"/>
        <v>17 h 36 m</v>
      </c>
      <c r="N9" s="59">
        <v>0.2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180</v>
      </c>
      <c r="B11">
        <f>SUM(B6:B10)</f>
        <v>165</v>
      </c>
      <c r="C11">
        <f>SUM(A11:B11)</f>
        <v>345</v>
      </c>
      <c r="E11" s="81" t="s">
        <v>29</v>
      </c>
      <c r="F11" s="71" t="str">
        <f t="shared" si="1"/>
        <v>5 h 45 min</v>
      </c>
      <c r="G11" s="82">
        <f>C11/C12</f>
        <v>6.5340909090909088E-2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5280</v>
      </c>
    </row>
    <row r="13" spans="1:14" x14ac:dyDescent="0.3">
      <c r="F13" s="43"/>
    </row>
  </sheetData>
  <sheetProtection algorithmName="SHA-512" hashValue="5aGPoTqGmkyjsdpSMN178N1WBFC1VMTKFkm66m+6Yog7xX7DUJiACAUjm3QdOBaqrz5f2f7Cd0Udr+YLoex+Rw==" saltValue="y9meuOEPmAMrI+vrG0x/l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2" ma:contentTypeDescription="Crée un document." ma:contentTypeScope="" ma:versionID="f210a10b50758f5c26f5e6d0f6112e94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7077db147fa9f705bc2534cfd13fe774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73a841-596c-4be8-af39-2504078c3bb2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4356f79f-5386-4bda-9d92-82d8bd7b074e"/>
    <ds:schemaRef ds:uri="3eb094ff-ec8d-44d8-be06-94ad3ec8832a"/>
  </ds:schemaRefs>
</ds:datastoreItem>
</file>

<file path=customXml/itemProps2.xml><?xml version="1.0" encoding="utf-8"?>
<ds:datastoreItem xmlns:ds="http://schemas.openxmlformats.org/officeDocument/2006/customXml" ds:itemID="{CC7F4A39-09D3-4CB7-8797-AEDEE0DBA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Hugo Schweizer</cp:lastModifiedBy>
  <cp:revision/>
  <dcterms:created xsi:type="dcterms:W3CDTF">2023-11-21T20:00:34Z</dcterms:created>
  <dcterms:modified xsi:type="dcterms:W3CDTF">2026-09-11T08:10:29Z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MediaServiceImageTags">
    <vt:lpwstr/>
  </property>
</Properties>
</file>