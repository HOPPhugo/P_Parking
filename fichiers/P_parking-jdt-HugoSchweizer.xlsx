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D:\P_parking\fichiers\"/>
    </mc:Choice>
  </mc:AlternateContent>
  <xr:revisionPtr revIDLastSave="0" documentId="13_ncr:1_{C27165C8-F27F-411C-924F-81C58150329D}" xr6:coauthVersionLast="47" xr6:coauthVersionMax="47" xr10:uidLastSave="{00000000-0000-0000-0000-000000000000}"/>
  <bookViews>
    <workbookView xWindow="-120" yWindow="-120" windowWidth="29040" windowHeight="157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<sst xmlns="http://schemas.openxmlformats.org/spreadsheetml/2006/main" count="70" uniqueCount="48">
  <si>
    <t>Journal de travail</t>
  </si>
  <si>
    <t>Auteur:</t>
  </si>
  <si>
    <t>Schweizer Hugo</t>
  </si>
  <si>
    <t>Projet:</t>
  </si>
  <si>
    <t>Temps total:</t>
  </si>
  <si>
    <t>Date:</t>
  </si>
  <si>
    <t>Temps</t>
  </si>
  <si>
    <t>Semaine</t>
  </si>
  <si>
    <t>Jour</t>
  </si>
  <si>
    <t xml:space="preserve">h.      </t>
  </si>
  <si>
    <t>min.</t>
  </si>
  <si>
    <t>Type</t>
  </si>
  <si>
    <t>Description</t>
  </si>
  <si>
    <t>Remarques/problèmes</t>
  </si>
  <si>
    <t>Analyse</t>
  </si>
  <si>
    <t>Test</t>
  </si>
  <si>
    <t>Implémentation</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</si>
  <si>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</si>
  <si>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</si>
  <si>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</si>
  <si>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</si>
  <si>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</si>
  <si>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</si>
  <si>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</si>
  <si>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</si>
  <si>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</si>
  <si>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</si>
  <si>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</si>
  <si>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</si>
  <si>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</si>
  <si>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P_Parking</t>
  </si>
  <si>
    <t>28.08.2026 au 30.10.2026 - P_Parking</t>
  </si>
  <si>
    <t>Introduction au module</t>
  </si>
  <si>
    <t>Completion du rapport</t>
  </si>
  <si>
    <t>Remplissage de la planification</t>
  </si>
  <si>
    <t>J'ai aidé un camarade pour github DeskTop</t>
  </si>
  <si>
    <t>Planification finie</t>
  </si>
  <si>
    <t>Initialisation C# terminée (Imaginer et créer l'interface utilisateur pour pouvoir y afficher les données dès qu'elles seront utilisables.)</t>
  </si>
  <si>
    <t>Interface utilisateur finie (Avec de fausses données, il faut simplement les remplacer)</t>
  </si>
  <si>
    <t>J'ai créé et initailisé toutes les classes nécessaires (tous leurs attributs, et leur concepteur)</t>
  </si>
  <si>
    <t>en cours de I106, pendant le temps libre</t>
  </si>
  <si>
    <t>J'ai ajouté le faite de pouvoir entrer un vehicule (plus qu'as verifier si la plaque est bonne)</t>
  </si>
  <si>
    <t>Vérification de la plaque d'immatriculation faite</t>
  </si>
  <si>
    <t>Vérification de la plaque d'immatriculation améliorée ( je me suis rendu compte qu'elle ne gérait pas tout les cas) et création du ticket faite</t>
  </si>
  <si>
    <t xml:space="preserve">Sortie d'un véhicule finie, il y a différents messages d'erreurs si le véhicule n'est pas dans le parking ou si la place est déjà libre. Ça nous demande bien si on est sur de vouloir sortir la voiture et nous affiche toutes les informations qui sont en relation. </t>
  </si>
  <si>
    <t>Affichage du parking graphiquement avec les numeros de place et une indications de si elles sont libres ou non.</t>
  </si>
  <si>
    <t>Fait à moitié en cours I106, pendant le temps libre</t>
  </si>
  <si>
    <t>Recherche d'un vehicule dans le parking, affiche les informations du vehicule si réussi et de son ticket actuelle ( si il était déjà venu dans le parking au paravent, cet ancien ticket ne sera pas affiché).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</si>
</sst>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60</c:v>
                </c:pt>
                <c:pt idx="1">
                  <c:v>450</c:v>
                </c:pt>
                <c:pt idx="2">
                  <c:v>0</c:v>
                </c:pt>
                <c:pt idx="3">
                  <c:v>135</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877-BF46-A280-9AE4DAD1572E}"/>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dLbl>
              <c:idx val="4"/>
              <c:layout>
                <c:manualLayout>
                  <c:x val="-3.183571491795857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A4-1D44-BA94-80D9B5CA27D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dLbl>
              <c:idx val="4"/>
              <c:layout>
                <c:manualLayout>
                  <c:x val="3.4031281464024517E-2"/>
                  <c:y val="-3.0887932905310913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A4-1D44-BA94-80D9B5CA27D4}"/>
                </c:ext>
              </c:extLst>
            </c:dLbl>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Plannification!$G$6:$G$10</c:f>
              <c:numCache>
                <c:formatCode>0.00%</c:formatCode>
                <c:ptCount val="5"/>
                <c:pt idx="0">
                  <c:v>9.3023255813953487E-2</c:v>
                </c:pt>
                <c:pt idx="1">
                  <c:v>0.69767441860465118</c:v>
                </c:pt>
                <c:pt idx="2">
                  <c:v>0</c:v>
                </c:pt>
                <c:pt idx="3">
                  <c:v>0.20930232558139536</c:v>
                </c:pt>
                <c:pt idx="4">
                  <c:v>0</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topLeftCell="C1" zoomScale="115" zoomScaleNormal="115" workbookViewId="0">
      <pane ySplit="6" topLeftCell="A16" activePane="bottomLeft" state="frozen"/>
      <selection pane="bottomLeft" activeCell="G24" sqref="G24"/>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11 heures 15 minutes</v>
      </c>
      <c r="D3" s="17"/>
      <c r="E3" s="3"/>
      <c r="F3" s="4" t="s">
        <v>5</v>
      </c>
      <c r="G3" s="65" t="s">
        <v>31</v>
      </c>
    </row>
    <row r="4" spans="1:15" ht="23.25" hidden="1" x14ac:dyDescent="0.35">
      <c r="B4" s="5"/>
      <c r="C4" s="17">
        <f>SUBTOTAL(9,$C$7:$C$531)*60</f>
        <v>360</v>
      </c>
      <c r="D4" s="17">
        <f>SUBTOTAL(9,$D$7:$D$531)</f>
        <v>315</v>
      </c>
      <c r="E4" s="24">
        <f>SUM(C4:D4)</f>
        <v>675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46262</v>
      </c>
      <c r="C7" s="27">
        <v>1</v>
      </c>
      <c r="D7" s="28">
        <v>0</v>
      </c>
      <c r="E7" s="29" t="s">
        <v>14</v>
      </c>
      <c r="F7" s="23" t="s">
        <v>32</v>
      </c>
      <c r="G7" s="38"/>
    </row>
    <row r="8" spans="1:15" x14ac:dyDescent="0.25">
      <c r="A8" s="62">
        <f>IF(ISBLANK(B8),"",_xlfn.ISOWEEKNUM('Journal de travail'!$B8))</f>
        <v>35</v>
      </c>
      <c r="B8" s="30">
        <v>46262</v>
      </c>
      <c r="C8" s="31">
        <v>1</v>
      </c>
      <c r="D8" s="32">
        <v>0</v>
      </c>
      <c r="E8" s="33" t="s">
        <v>17</v>
      </c>
      <c r="F8" s="23" t="s">
        <v>33</v>
      </c>
      <c r="G8" s="39"/>
      <c r="M8" t="s">
        <v>14</v>
      </c>
      <c r="N8">
        <v>1</v>
      </c>
      <c r="O8">
        <v>0</v>
      </c>
    </row>
    <row r="9" spans="1:15" x14ac:dyDescent="0.25">
      <c r="A9" s="63">
        <f>IF(ISBLANK(B9),"",_xlfn.ISOWEEKNUM('Journal de travail'!$B9))</f>
        <v>35</v>
      </c>
      <c r="B9" s="34">
        <v>46262</v>
      </c>
      <c r="C9" s="35"/>
      <c r="D9" s="36">
        <v>30</v>
      </c>
      <c r="E9" s="37" t="s">
        <v>17</v>
      </c>
      <c r="F9" s="23" t="s">
        <v>34</v>
      </c>
      <c r="G9" s="40"/>
      <c r="M9" t="s">
        <v>16</v>
      </c>
      <c r="N9">
        <v>2</v>
      </c>
      <c r="O9">
        <v>5</v>
      </c>
    </row>
    <row r="10" spans="1:15" x14ac:dyDescent="0.25">
      <c r="A10" s="62">
        <f>IF(ISBLANK(B10),"",_xlfn.ISOWEEKNUM('Journal de travail'!$B10))</f>
        <v>35</v>
      </c>
      <c r="B10" s="30">
        <v>46262</v>
      </c>
      <c r="C10" s="31"/>
      <c r="D10" s="32">
        <v>30</v>
      </c>
      <c r="E10" s="33"/>
      <c r="F10" s="23" t="s">
        <v>35</v>
      </c>
      <c r="G10" s="39"/>
      <c r="M10" t="s">
        <v>15</v>
      </c>
      <c r="N10">
        <v>3</v>
      </c>
      <c r="O10">
        <v>10</v>
      </c>
    </row>
    <row r="11" spans="1:15" x14ac:dyDescent="0.25">
      <c r="A11" s="63">
        <f>IF(ISBLANK(B11),"",_xlfn.ISOWEEKNUM('Journal de travail'!$B11))</f>
        <v>35</v>
      </c>
      <c r="B11" s="34">
        <v>46262</v>
      </c>
      <c r="C11" s="35"/>
      <c r="D11" s="36">
        <v>30</v>
      </c>
      <c r="E11" s="37" t="s">
        <v>17</v>
      </c>
      <c r="F11" s="23" t="s">
        <v>34</v>
      </c>
      <c r="G11" s="40"/>
      <c r="M11" t="s">
        <v>17</v>
      </c>
      <c r="N11">
        <v>4</v>
      </c>
      <c r="O11">
        <v>15</v>
      </c>
    </row>
    <row r="12" spans="1:15" x14ac:dyDescent="0.25">
      <c r="A12" s="62">
        <f>IF(ISBLANK(B12),"",_xlfn.ISOWEEKNUM('Journal de travail'!$B12))</f>
        <v>36</v>
      </c>
      <c r="B12" s="30">
        <v>46269</v>
      </c>
      <c r="C12" s="31"/>
      <c r="D12" s="32">
        <v>15</v>
      </c>
      <c r="E12" s="33" t="s">
        <v>17</v>
      </c>
      <c r="F12" s="23" t="s">
        <v>36</v>
      </c>
      <c r="G12" s="39"/>
      <c r="M12" t="s">
        <v>18</v>
      </c>
      <c r="N12">
        <v>5</v>
      </c>
      <c r="O12">
        <v>20</v>
      </c>
    </row>
    <row r="13" spans="1:15" ht="31.5" x14ac:dyDescent="0.25">
      <c r="A13" s="63" t="str">
        <f>IF(ISBLANK(B13),"",_xlfn.ISOWEEKNUM('Journal de travail'!$B13))</f>
        <v/>
      </c>
      <c r="B13" s="34"/>
      <c r="C13" s="35"/>
      <c r="D13" s="36">
        <v>30</v>
      </c>
      <c r="E13" s="37" t="s">
        <v>16</v>
      </c>
      <c r="F13" s="23" t="s">
        <v>37</v>
      </c>
      <c r="G13" s="40"/>
      <c r="N13">
        <v>6</v>
      </c>
      <c r="O13">
        <v>25</v>
      </c>
    </row>
    <row r="14" spans="1:15" x14ac:dyDescent="0.25">
      <c r="A14" s="62" t="str">
        <f>IF(ISBLANK(B14),"",_xlfn.ISOWEEKNUM('Journal de travail'!$B14))</f>
        <v/>
      </c>
      <c r="B14" s="30"/>
      <c r="C14" s="31"/>
      <c r="D14" s="32">
        <v>30</v>
      </c>
      <c r="E14" s="33" t="s">
        <v>16</v>
      </c>
      <c r="F14" s="23" t="s">
        <v>38</v>
      </c>
      <c r="G14" s="39"/>
      <c r="N14">
        <v>7</v>
      </c>
      <c r="O14">
        <v>30</v>
      </c>
    </row>
    <row r="15" spans="1:15" x14ac:dyDescent="0.25">
      <c r="A15" s="63" t="str">
        <f>IF(ISBLANK(B15),"",_xlfn.ISOWEEKNUM('Journal de travail'!$B15))</f>
        <v/>
      </c>
      <c r="B15" s="34"/>
      <c r="C15" s="35">
        <v>1</v>
      </c>
      <c r="D15" s="36">
        <v>30</v>
      </c>
      <c r="E15" s="37" t="s">
        <v>16</v>
      </c>
      <c r="F15" s="23" t="s">
        <v>39</v>
      </c>
      <c r="G15" s="40"/>
      <c r="N15">
        <v>8</v>
      </c>
      <c r="O15">
        <v>35</v>
      </c>
    </row>
    <row r="16" spans="1:15" x14ac:dyDescent="0.25">
      <c r="A16" s="62" t="str">
        <f>IF(ISBLANK(B16),"",_xlfn.ISOWEEKNUM('Journal de travail'!$B16))</f>
        <v/>
      </c>
      <c r="B16" s="30"/>
      <c r="C16" s="31"/>
      <c r="D16" s="32">
        <v>30</v>
      </c>
      <c r="E16" s="33" t="s">
        <v>16</v>
      </c>
      <c r="F16" s="23" t="s">
        <v>41</v>
      </c>
      <c r="G16" s="39" t="s">
        <v>40</v>
      </c>
      <c r="O16">
        <v>40</v>
      </c>
    </row>
    <row r="17" spans="1:15" x14ac:dyDescent="0.25">
      <c r="A17" s="63" t="str">
        <f>IF(ISBLANK(B17),"",_xlfn.ISOWEEKNUM('Journal de travail'!$B17))</f>
        <v/>
      </c>
      <c r="B17" s="34"/>
      <c r="C17" s="35"/>
      <c r="D17" s="36">
        <v>30</v>
      </c>
      <c r="E17" s="37" t="s">
        <v>16</v>
      </c>
      <c r="F17" s="23" t="s">
        <v>42</v>
      </c>
      <c r="G17" s="40" t="s">
        <v>40</v>
      </c>
      <c r="O17">
        <v>45</v>
      </c>
    </row>
    <row r="18" spans="1:15" ht="31.5" x14ac:dyDescent="0.25">
      <c r="A18" s="62" t="str">
        <f>IF(ISBLANK(B18),"",_xlfn.ISOWEEKNUM('Journal de travail'!$B18))</f>
        <v/>
      </c>
      <c r="B18" s="30"/>
      <c r="C18" s="31">
        <v>1</v>
      </c>
      <c r="D18" s="32">
        <v>0</v>
      </c>
      <c r="E18" s="33" t="s">
        <v>16</v>
      </c>
      <c r="F18" s="23" t="s">
        <v>43</v>
      </c>
      <c r="G18" s="39"/>
      <c r="O18">
        <v>50</v>
      </c>
    </row>
    <row r="19" spans="1:15" ht="47.25" x14ac:dyDescent="0.25">
      <c r="A19" s="63" t="str">
        <f>IF(ISBLANK(B19),"",_xlfn.ISOWEEKNUM('Journal de travail'!$B19))</f>
        <v/>
      </c>
      <c r="B19" s="34"/>
      <c r="C19" s="35">
        <v>1</v>
      </c>
      <c r="D19" s="36">
        <v>30</v>
      </c>
      <c r="E19" s="37" t="s">
        <v>16</v>
      </c>
      <c r="F19" s="23" t="s">
        <v>44</v>
      </c>
      <c r="G19" s="40"/>
      <c r="O19">
        <v>55</v>
      </c>
    </row>
    <row r="20" spans="1:15" ht="31.5" x14ac:dyDescent="0.25">
      <c r="A20" s="62" t="str">
        <f>IF(ISBLANK(B20),"",_xlfn.ISOWEEKNUM('Journal de travail'!$B20))</f>
        <v/>
      </c>
      <c r="B20" s="30"/>
      <c r="C20" s="31">
        <v>1</v>
      </c>
      <c r="D20" s="32">
        <v>0</v>
      </c>
      <c r="E20" s="33" t="s">
        <v>16</v>
      </c>
      <c r="F20" s="23" t="s">
        <v>45</v>
      </c>
      <c r="G20" s="39" t="s">
        <v>46</v>
      </c>
    </row>
    <row r="21" spans="1:15" ht="47.25" x14ac:dyDescent="0.25">
      <c r="A21" s="63" t="str">
        <f>IF(ISBLANK(B21),"",_xlfn.ISOWEEKNUM('Journal de travail'!$B21))</f>
        <v/>
      </c>
      <c r="B21" s="34"/>
      <c r="C21" s="35"/>
      <c r="D21" s="36">
        <v>30</v>
      </c>
      <c r="E21" s="37" t="s">
        <v>16</v>
      </c>
      <c r="F21" s="23" t="s">
        <v>47</v>
      </c>
      <c r="G21" s="40"/>
    </row>
    <row r="22" spans="1:15" x14ac:dyDescent="0.25">
      <c r="A22" s="62" t="str">
        <f>IF(ISBLANK(B22),"",_xlfn.ISOWEEKNUM('Journal de travail'!$B22))</f>
        <v/>
      </c>
      <c r="B22" s="30"/>
      <c r="C22" s="31"/>
      <c r="D22" s="32"/>
      <c r="E22" s="33"/>
      <c r="F22" s="23"/>
      <c r="G22" s="39"/>
    </row>
    <row r="23" spans="1:15" x14ac:dyDescent="0.25">
      <c r="A23" s="63" t="str">
        <f>IF(ISBLANK(B23),"",_xlfn.ISOWEEKNUM('Journal de travail'!$B23))</f>
        <v/>
      </c>
      <c r="B23" s="34"/>
      <c r="C23" s="35"/>
      <c r="D23" s="36"/>
      <c r="E23" s="37"/>
      <c r="F23" s="23"/>
      <c r="G23" s="40"/>
    </row>
    <row r="24" spans="1:15" x14ac:dyDescent="0.25">
      <c r="A24" s="62" t="str">
        <f>IF(ISBLANK(B24),"",_xlfn.ISOWEEKNUM('Journal de travail'!$B24))</f>
        <v/>
      </c>
      <c r="B24" s="30"/>
      <c r="C24" s="31"/>
      <c r="D24" s="32"/>
      <c r="E24" s="33"/>
      <c r="F24" s="23"/>
      <c r="G24" s="39"/>
    </row>
    <row r="25" spans="1:15" x14ac:dyDescent="0.25">
      <c r="A25" s="63" t="str">
        <f>IF(ISBLANK(B25),"",_xlfn.ISOWEEKNUM('Journal de travail'!$B25))</f>
        <v/>
      </c>
      <c r="B25" s="34"/>
      <c r="C25" s="35"/>
      <c r="D25" s="36"/>
      <c r="E25" s="37"/>
      <c r="F25" s="23"/>
      <c r="G25" s="40"/>
    </row>
    <row r="26" spans="1:15" x14ac:dyDescent="0.25">
      <c r="A26" s="62" t="str">
        <f>IF(ISBLANK(B26),"",_xlfn.ISOWEEKNUM('Journal de travail'!$B26))</f>
        <v/>
      </c>
      <c r="B26" s="30"/>
      <c r="C26" s="31"/>
      <c r="D26" s="32"/>
      <c r="E26" s="33"/>
      <c r="F26" s="23"/>
      <c r="G26" s="39"/>
    </row>
    <row r="27" spans="1:15" x14ac:dyDescent="0.25">
      <c r="A27" s="63" t="str">
        <f>IF(ISBLANK(B27),"",_xlfn.ISOWEEKNUM('Journal de travail'!$B27))</f>
        <v/>
      </c>
      <c r="B27" s="34"/>
      <c r="C27" s="35"/>
      <c r="D27" s="36"/>
      <c r="E27" s="37"/>
      <c r="F27" s="23"/>
      <c r="G27" s="40"/>
    </row>
    <row r="28" spans="1:15" x14ac:dyDescent="0.25">
      <c r="A28" s="62" t="str">
        <f>IF(ISBLANK(B28),"",_xlfn.ISOWEEKNUM('Journal de travail'!$B28))</f>
        <v/>
      </c>
      <c r="B28" s="30"/>
      <c r="C28" s="31"/>
      <c r="D28" s="32"/>
      <c r="E28" s="33"/>
      <c r="F28" s="22"/>
      <c r="G28" s="39"/>
    </row>
    <row r="29" spans="1:15" x14ac:dyDescent="0.25">
      <c r="A29" s="63" t="str">
        <f>IF(ISBLANK(B29),"",_xlfn.ISOWEEKNUM('Journal de travail'!$B29))</f>
        <v/>
      </c>
      <c r="B29" s="34"/>
      <c r="C29" s="35"/>
      <c r="D29" s="36"/>
      <c r="E29" s="37"/>
      <c r="F29" s="22"/>
      <c r="G29" s="40"/>
    </row>
    <row r="30" spans="1:15" x14ac:dyDescent="0.25">
      <c r="A30" s="62" t="str">
        <f>IF(ISBLANK(B30),"",_xlfn.ISOWEEKNUM('Journal de travail'!$B30))</f>
        <v/>
      </c>
      <c r="B30" s="30"/>
      <c r="C30" s="31"/>
      <c r="D30" s="32"/>
      <c r="E30" s="33"/>
      <c r="F30" s="23"/>
      <c r="G30" s="39"/>
    </row>
    <row r="31" spans="1:15" x14ac:dyDescent="0.25">
      <c r="A31" s="63" t="str">
        <f>IF(ISBLANK(B31),"",_xlfn.ISOWEEKNUM('Journal de travail'!$B31))</f>
        <v/>
      </c>
      <c r="B31" s="34"/>
      <c r="C31" s="35"/>
      <c r="D31" s="36"/>
      <c r="E31" s="37"/>
      <c r="F31" s="22"/>
      <c r="G31" s="40"/>
    </row>
    <row r="32" spans="1:15" x14ac:dyDescent="0.25">
      <c r="A32" s="62" t="str">
        <f>IF(ISBLANK(B32),"",_xlfn.ISOWEEKNUM('Journal de travail'!$B32))</f>
        <v/>
      </c>
      <c r="B32" s="30"/>
      <c r="C32" s="31"/>
      <c r="D32" s="32"/>
      <c r="E32" s="33"/>
      <c r="F32" s="23"/>
      <c r="G32" s="39"/>
    </row>
    <row r="33" spans="1:7" x14ac:dyDescent="0.25">
      <c r="A33" s="63" t="str">
        <f>IF(ISBLANK(B33),"",_xlfn.ISOWEEKNUM('Journal de travail'!$B33))</f>
        <v/>
      </c>
      <c r="B33" s="34"/>
      <c r="C33" s="35"/>
      <c r="D33" s="36"/>
      <c r="E33" s="37"/>
      <c r="F33" s="22"/>
      <c r="G33" s="40"/>
    </row>
    <row r="34" spans="1:7" x14ac:dyDescent="0.25">
      <c r="A34" s="62" t="str">
        <f>IF(ISBLANK(B34),"",_xlfn.ISOWEEKNUM('Journal de travail'!$B34))</f>
        <v/>
      </c>
      <c r="B34" s="30"/>
      <c r="C34" s="31"/>
      <c r="D34" s="32"/>
      <c r="E34" s="33"/>
      <c r="F34" s="22"/>
      <c r="G34" s="39"/>
    </row>
    <row r="35" spans="1:7" x14ac:dyDescent="0.25">
      <c r="A35" s="63" t="str">
        <f>IF(ISBLANK(B35),"",_xlfn.ISOWEEKNUM('Journal de travail'!$B35))</f>
        <v/>
      </c>
      <c r="B35" s="34"/>
      <c r="C35" s="35"/>
      <c r="D35" s="36"/>
      <c r="E35" s="37"/>
      <c r="F35" s="23"/>
      <c r="G35" s="40"/>
    </row>
    <row r="36" spans="1:7" x14ac:dyDescent="0.25">
      <c r="A36" s="62" t="str">
        <f>IF(ISBLANK(B36),"",_xlfn.ISOWEEKNUM('Journal de travail'!$B36))</f>
        <v/>
      </c>
      <c r="B36" s="30"/>
      <c r="C36" s="31"/>
      <c r="D36" s="32"/>
      <c r="E36" s="33"/>
      <c r="F36" s="22"/>
      <c r="G36" s="39"/>
    </row>
    <row r="37" spans="1:7" x14ac:dyDescent="0.25">
      <c r="A37" s="63" t="str">
        <f>IF(ISBLANK(B37),"",_xlfn.ISOWEEKNUM('Journal de travail'!$B37))</f>
        <v/>
      </c>
      <c r="B37" s="34"/>
      <c r="C37" s="35"/>
      <c r="D37" s="36"/>
      <c r="E37" s="37"/>
      <c r="F37" s="22"/>
      <c r="G37" s="40"/>
    </row>
    <row r="38" spans="1:7" x14ac:dyDescent="0.25">
      <c r="A38" s="62" t="str">
        <f>IF(ISBLANK(B38),"",_xlfn.ISOWEEKNUM('Journal de travail'!$B38))</f>
        <v/>
      </c>
      <c r="B38" s="30"/>
      <c r="C38" s="31"/>
      <c r="D38" s="32"/>
      <c r="E38" s="33"/>
      <c r="F38" s="22"/>
      <c r="G38" s="39"/>
    </row>
    <row r="39" spans="1:7" x14ac:dyDescent="0.25">
      <c r="A39" s="63" t="str">
        <f>IF(ISBLANK(B39),"",_xlfn.ISOWEEKNUM('Journal de travail'!$B39))</f>
        <v/>
      </c>
      <c r="B39" s="34"/>
      <c r="C39" s="35"/>
      <c r="D39" s="36"/>
      <c r="E39" s="37"/>
      <c r="F39" s="22"/>
      <c r="G39" s="40"/>
    </row>
    <row r="40" spans="1:7" x14ac:dyDescent="0.25">
      <c r="A40" s="62" t="str">
        <f>IF(ISBLANK(B40),"",_xlfn.ISOWEEKNUM('Journal de travail'!$B40))</f>
        <v/>
      </c>
      <c r="B40" s="30"/>
      <c r="C40" s="31"/>
      <c r="D40" s="32"/>
      <c r="E40" s="33"/>
      <c r="F40" s="22"/>
      <c r="G40" s="39"/>
    </row>
    <row r="41" spans="1:7" x14ac:dyDescent="0.25">
      <c r="A41" s="63" t="str">
        <f>IF(ISBLANK(B41),"",_xlfn.ISOWEEKNUM('Journal de travail'!$B41))</f>
        <v/>
      </c>
      <c r="B41" s="34"/>
      <c r="C41" s="35"/>
      <c r="D41" s="36"/>
      <c r="E41" s="37"/>
      <c r="F41" s="22"/>
      <c r="G41" s="40"/>
    </row>
    <row r="42" spans="1:7" x14ac:dyDescent="0.25">
      <c r="A42" s="62" t="str">
        <f>IF(ISBLANK(B42),"",_xlfn.ISOWEEKNUM('Journal de travail'!$B42))</f>
        <v/>
      </c>
      <c r="B42" s="30"/>
      <c r="C42" s="31"/>
      <c r="D42" s="32"/>
      <c r="E42" s="33"/>
      <c r="F42" s="22"/>
      <c r="G42" s="39"/>
    </row>
    <row r="43" spans="1:7" x14ac:dyDescent="0.25">
      <c r="A43" s="63" t="str">
        <f>IF(ISBLANK(B43),"",_xlfn.ISOWEEKNUM('Journal de travail'!$B43))</f>
        <v/>
      </c>
      <c r="B43" s="34"/>
      <c r="C43" s="35"/>
      <c r="D43" s="36"/>
      <c r="E43" s="37"/>
      <c r="F43" s="22"/>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G8" sqref="G8"/>
    </sheetView>
  </sheetViews>
  <sheetFormatPr baseColWidth="10"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88</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0</v>
      </c>
      <c r="C6">
        <f t="shared" ref="C6:C10" si="0">SUM(A6:B6)</f>
        <v>60</v>
      </c>
      <c r="E6" s="70" t="str">
        <f>'Journal de travail'!M8</f>
        <v>Analyse</v>
      </c>
      <c r="F6" s="71" t="str">
        <f>QUOTIENT(SUM(A6:B6),60)&amp;" h "&amp;TEXT(MOD(SUM(A6:B6),60), "00")&amp;" min"</f>
        <v>1 h 00 min</v>
      </c>
      <c r="G6" s="72">
        <f>SUM(A6:B6)/$C$11</f>
        <v>9.3023255813953487E-2</v>
      </c>
      <c r="L6" s="51" t="str">
        <f>'Journal de travail'!M8</f>
        <v>Analyse</v>
      </c>
      <c r="M6" s="52" t="str">
        <f>INT($F$2*N6)&amp;" h "&amp;TEXT(ROUND(MOD($F$2*N6,1)*60,0),"00")&amp;" m"</f>
        <v>17 h 36 m</v>
      </c>
      <c r="N6" s="58">
        <v>0.2</v>
      </c>
    </row>
    <row r="7" spans="1:14" x14ac:dyDescent="0.3">
      <c r="A7">
        <f>SUMIF('Journal de travail'!$E$7:$E$532,Plannification!E7,'Journal de travail'!$C$7:$C$532)*60</f>
        <v>240</v>
      </c>
      <c r="B7">
        <f>SUMIF('Journal de travail'!$E$7:$E$532,Plannification!E7,'Journal de travail'!$D$7:$D$532)</f>
        <v>210</v>
      </c>
      <c r="C7">
        <f t="shared" si="0"/>
        <v>450</v>
      </c>
      <c r="E7" s="73" t="str">
        <f>'Journal de travail'!M9</f>
        <v>Implémentation</v>
      </c>
      <c r="F7" s="74" t="str">
        <f t="shared" ref="F7:F11" si="1">QUOTIENT(SUM(A7:B7),60)&amp;" h "&amp;TEXT(MOD(SUM(A7:B7),60), "00")&amp;" min"</f>
        <v>7 h 30 min</v>
      </c>
      <c r="G7" s="75">
        <f t="shared" ref="G7:G9" si="2">SUM(A7:B7)/$C$11</f>
        <v>0.69767441860465118</v>
      </c>
      <c r="L7" s="53" t="str">
        <f>'Journal de travail'!M9</f>
        <v>Implémentation</v>
      </c>
      <c r="M7" s="52" t="str">
        <f t="shared" ref="M7:M10" si="3">INT($F$2*N7)&amp;" h "&amp;TEXT(ROUND(MOD($F$2*N7,1)*60,0),"00")&amp;" m"</f>
        <v>44 h 00 m</v>
      </c>
      <c r="N7" s="59">
        <v>0.5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8 h 48 m</v>
      </c>
      <c r="N8" s="58">
        <v>0.1</v>
      </c>
    </row>
    <row r="9" spans="1:14" x14ac:dyDescent="0.3">
      <c r="A9">
        <f>SUMIF('Journal de travail'!$E$7:$E$532,Plannification!E9,'Journal de travail'!$C$7:$C$532)*60</f>
        <v>60</v>
      </c>
      <c r="B9">
        <f>SUMIF('Journal de travail'!$E$7:$E$532,Plannification!E9,'Journal de travail'!$D$7:$D$532)</f>
        <v>75</v>
      </c>
      <c r="C9">
        <f t="shared" si="0"/>
        <v>135</v>
      </c>
      <c r="E9" s="77" t="str">
        <f>'Journal de travail'!M11</f>
        <v>Documentation</v>
      </c>
      <c r="F9" s="74" t="str">
        <f t="shared" si="1"/>
        <v>2 h 15 min</v>
      </c>
      <c r="G9" s="75">
        <f t="shared" si="2"/>
        <v>0.20930232558139536</v>
      </c>
      <c r="L9" s="55" t="str">
        <f>'Journal de travail'!M11</f>
        <v>Documentation</v>
      </c>
      <c r="M9" s="52" t="str">
        <f t="shared" si="3"/>
        <v>17 h 36 m</v>
      </c>
      <c r="N9" s="59">
        <v>0.2</v>
      </c>
    </row>
    <row r="10" spans="1:14"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360</v>
      </c>
      <c r="B11">
        <f>SUM(B6:B10)</f>
        <v>285</v>
      </c>
      <c r="C11">
        <f>SUM(A11:B11)</f>
        <v>645</v>
      </c>
      <c r="E11" s="81" t="s">
        <v>29</v>
      </c>
      <c r="F11" s="71" t="str">
        <f t="shared" si="1"/>
        <v>10 h 45 min</v>
      </c>
      <c r="G11" s="82">
        <f>C11/C12</f>
        <v>0.12215909090909091</v>
      </c>
      <c r="L11" s="56" t="s">
        <v>29</v>
      </c>
      <c r="M11" s="57"/>
      <c r="N11" s="60">
        <f>SUM(N6:N10)</f>
        <v>1</v>
      </c>
    </row>
    <row r="12" spans="1:14" x14ac:dyDescent="0.3">
      <c r="C12">
        <f>F2*60</f>
        <v>5280</v>
      </c>
    </row>
    <row r="13" spans="1:14" x14ac:dyDescent="0.3">
      <c r="F13" s="43"/>
    </row>
  </sheetData>
  <sheetProtection algorithmName="SHA-512" hashValue="5aGPoTqGmkyjsdpSMN178N1WBFC1VMTKFkm66m+6Yog7xX7DUJiACAUjm3QdOBaqrz5f2f7Cd0Udr+YLoex+Rw==" saltValue="y9meuOEPmAMrI+vrG0x/l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baseColWidth="10"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356f79f-5386-4bda-9d92-82d8bd7b074e" xsi:nil="true"/>
    <lcf76f155ced4ddcb4097134ff3c332f xmlns="3eb094ff-ec8d-44d8-be06-94ad3ec8832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1C931FEC57CD24D841BB655C8BA0DFF" ma:contentTypeVersion="12" ma:contentTypeDescription="Crée un document." ma:contentTypeScope="" ma:versionID="f210a10b50758f5c26f5e6d0f6112e94">
  <xsd:schema xmlns:xsd="http://www.w3.org/2001/XMLSchema" xmlns:xs="http://www.w3.org/2001/XMLSchema" xmlns:p="http://schemas.microsoft.com/office/2006/metadata/properties" xmlns:ns2="3eb094ff-ec8d-44d8-be06-94ad3ec8832a" xmlns:ns3="4356f79f-5386-4bda-9d92-82d8bd7b074e" targetNamespace="http://schemas.microsoft.com/office/2006/metadata/properties" ma:root="true" ma:fieldsID="7077db147fa9f705bc2534cfd13fe774" ns2:_="" ns3:_="">
    <xsd:import namespace="3eb094ff-ec8d-44d8-be06-94ad3ec8832a"/>
    <xsd:import namespace="4356f79f-5386-4bda-9d92-82d8bd7b074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b094ff-ec8d-44d8-be06-94ad3ec8832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356f79f-5386-4bda-9d92-82d8bd7b074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73a841-596c-4be8-af39-2504078c3bb2}" ma:internalName="TaxCatchAll" ma:showField="CatchAllData" ma:web="4356f79f-5386-4bda-9d92-82d8bd7b074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4356f79f-5386-4bda-9d92-82d8bd7b074e"/>
    <ds:schemaRef ds:uri="3eb094ff-ec8d-44d8-be06-94ad3ec8832a"/>
  </ds:schemaRefs>
</ds:datastoreItem>
</file>

<file path=customXml/itemProps2.xml><?xml version="1.0" encoding="utf-8"?>
<ds:datastoreItem xmlns:ds="http://schemas.openxmlformats.org/officeDocument/2006/customXml" ds:itemID="{CC7F4A39-09D3-4CB7-8797-AEDEE0DBA3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b094ff-ec8d-44d8-be06-94ad3ec8832a"/>
    <ds:schemaRef ds:uri="4356f79f-5386-4bda-9d92-82d8bd7b07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Hugo Schweizer</cp:lastModifiedBy>
  <cp:revision/>
  <dcterms:created xsi:type="dcterms:W3CDTF">2023-11-21T20:00:34Z</dcterms:created>
  <dcterms:modified xsi:type="dcterms:W3CDTF">2026-09-25T08:32:07Z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0x01010051C931FEC57CD24D841BB655C8BA0DFF</vt:lpwstr>
  </property>
  <property fmtid="{D5CDD505-2E9C-101B-9397-08002B2CF9AE}" pid="3" name="MediaServiceImageTags">
    <vt:lpwstr/>
  </property>
</Properties>
</file>