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C7542514-659C-40F9-B6D9-2AACFED540F5}"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<sst xmlns="http://schemas.openxmlformats.org/spreadsheetml/2006/main" count="102" uniqueCount="62">
  <si>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</si>
  <si>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</si>
  <si>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</si>
  <si>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</si>
  <si>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</si>
  <si>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</si>
  <si>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</si>
  <si>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</si>
  <si>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</si>
  <si>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</si>
  <si>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</si>
  <si>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</si>
  <si>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</si>
  <si>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</si>
  <si>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</si>
  <si>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</si>
  <si>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</si>
  <si>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</si>
  <si>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</si>
  <si>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</si>
  <si>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</si>
  <si>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</si>
  <si>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</si>
  <si>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</si>
  <si>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</si>
  <si>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</si>
  <si>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</si>
  <si>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</si>
  <si>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</si>
  <si>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</si>
  <si>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</si>
  <si>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</si>
  <si>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</si>
  <si>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</si>
  <si>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</si>
  <si>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</si>
  <si>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</si>
  <si>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</si>
  <si>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</si>
  <si>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</si>
  <si>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</si>
  <si>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</si>
  <si>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</si>
  <si>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</si>
  <si>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</si>
  <si>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</si>
  <si>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</si>
  <si>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</si>
  <si>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</si>
  <si>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</si>
  <si>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</si>
  <si>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</si>
  <si>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</si>
  <si>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</si>
  <si>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</si>
  <si>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</si>
  <si>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</si>
  <si>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</si>
  <si>
    <t>Modification des commentaires avec les SUMMARY et les RETURNS pour les classes et les méthodes. Aussi modification du projet Test et modification des nom des méthodes de tests. Modification de la section test du rapport</t>
  </si>
  <si>
    <t>Modification de certains commentaires du code</t>
  </si>
  <si>
    <t>Modification du fonctionnement de ma méthode qui affiche le tableau</t>
  </si>
  <si>
    <t>Modification du fonctionnement de ma méthode qui affiche le tableau pour qu'il soie responsive selon la taille du tableau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</si>
</sst>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865</c:v>
                </c:pt>
                <c:pt idx="2">
                  <c:v>0</c:v>
                </c:pt>
                <c:pt idx="3">
                  <c:v>435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4.4117647058823532E-2</c:v>
                </c:pt>
                <c:pt idx="1">
                  <c:v>0.63602941176470584</c:v>
                </c:pt>
                <c:pt idx="2">
                  <c:v>0</c:v>
                </c:pt>
                <c:pt idx="3">
                  <c:v>0.31985294117647056</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29" activePane="bottomLeft" state="frozen"/>
      <selection pane="bottomLeft" activeCell="F38" sqref="F38"/>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23 heures 10 minutes</v>
      </c>
      <c r="D3" s="17"/>
      <c r="E3" s="3"/>
      <c r="F3" s="4" t="s">
        <v>5</v>
      </c>
      <c r="G3" s="65" t="s">
        <v>31</v>
      </c>
    </row>
    <row r="4" spans="1:15" ht="23.25" hidden="1" x14ac:dyDescent="0.35">
      <c r="B4" s="5"/>
      <c r="C4" s="17">
        <f>SUBTOTAL(9,$C$7:$C$531)*60</f>
        <v>840</v>
      </c>
      <c r="D4" s="17">
        <f>SUBTOTAL(9,$D$7:$D$531)</f>
        <v>550</v>
      </c>
      <c r="E4" s="24">
        <f>SUM(C4:D4)</f>
        <v>1390</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ht="47.25" x14ac:dyDescent="0.25">
      <c r="A32" s="62">
        <f>IF(ISBLANK(B32),"",_xlfn.ISOWEEKNUM('Journal de travail'!$B32))</f>
        <v>41</v>
      </c>
      <c r="B32" s="30">
        <v>46300</v>
      </c>
      <c r="C32" s="31">
        <v>1</v>
      </c>
      <c r="D32" s="32">
        <v>0</v>
      </c>
      <c r="E32" s="33" t="s">
        <v>16</v>
      </c>
      <c r="F32" s="23" t="s">
        <v>58</v>
      </c>
      <c r="G32" s="39"/>
    </row>
    <row r="33" spans="1:7" x14ac:dyDescent="0.25">
      <c r="A33" s="63">
        <f>IF(ISBLANK(B33),"",_xlfn.ISOWEEKNUM('Journal de travail'!$B33))</f>
        <v>41</v>
      </c>
      <c r="B33" s="34">
        <v>46300</v>
      </c>
      <c r="C33" s="35"/>
      <c r="D33" s="36">
        <v>30</v>
      </c>
      <c r="E33" s="37" t="s">
        <v>17</v>
      </c>
      <c r="F33" s="22" t="s">
        <v>59</v>
      </c>
      <c r="G33" s="40"/>
    </row>
    <row r="34" spans="1:7" x14ac:dyDescent="0.25">
      <c r="A34" s="62">
        <f>IF(ISBLANK(B34),"",_xlfn.ISOWEEKNUM('Journal de travail'!$B34))</f>
        <v>41</v>
      </c>
      <c r="B34" s="30">
        <v>46300</v>
      </c>
      <c r="C34" s="31"/>
      <c r="D34" s="32">
        <v>30</v>
      </c>
      <c r="E34" s="33" t="s">
        <v>16</v>
      </c>
      <c r="F34" s="22" t="s">
        <v>60</v>
      </c>
      <c r="G34" s="39" t="s">
        <v>53</v>
      </c>
    </row>
    <row r="35" spans="1:7" ht="31.5" x14ac:dyDescent="0.25">
      <c r="A35" s="63">
        <f>IF(ISBLANK(B35),"",_xlfn.ISOWEEKNUM('Journal de travail'!$B35))</f>
        <v>41</v>
      </c>
      <c r="B35" s="34">
        <v>46302</v>
      </c>
      <c r="C35" s="35"/>
      <c r="D35" s="36">
        <v>15</v>
      </c>
      <c r="E35" s="37" t="s">
        <v>16</v>
      </c>
      <c r="F35" s="23" t="s">
        <v>61</v>
      </c>
      <c r="G35" s="40" t="s">
        <v>53</v>
      </c>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4.4117647058823532E-2</v>
      </c>
      <c r="L6" s="51" t="str">
        <f>'Journal de travail'!M8</f>
        <v>Analyse</v>
      </c>
      <c r="M6" s="52" t="str">
        <f>INT($F$2*N6)&amp;" h "&amp;TEXT(ROUND(MOD($F$2*N6,1)*60,0),"00")&amp;" m"</f>
        <v>17 h 36 m</v>
      </c>
      <c r="N6" s="58">
        <v>0.2</v>
      </c>
    </row>
    <row r="7" spans="1:14" x14ac:dyDescent="0.3">
      <c r="A7">
        <f>SUMIF('Journal de travail'!$E$7:$E$532,Plannification!E7,'Journal de travail'!$C$7:$C$532)*60</f>
        <v>480</v>
      </c>
      <c r="B7">
        <f>SUMIF('Journal de travail'!$E$7:$E$532,Plannification!E7,'Journal de travail'!$D$7:$D$532)</f>
        <v>385</v>
      </c>
      <c r="C7">
        <f t="shared" si="0"/>
        <v>865</v>
      </c>
      <c r="E7" s="73" t="str">
        <f>'Journal de travail'!M9</f>
        <v>Implémentation</v>
      </c>
      <c r="F7" s="74" t="str">
        <f t="shared" ref="F7:F11" si="1">QUOTIENT(SUM(A7:B7),60)&amp;" h "&amp;TEXT(MOD(SUM(A7:B7),60), "00")&amp;" min"</f>
        <v>14 h 25 min</v>
      </c>
      <c r="G7" s="75">
        <f t="shared" ref="G7:G9" si="2">SUM(A7:B7)/$C$11</f>
        <v>0.63602941176470584</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135</v>
      </c>
      <c r="C9">
        <f t="shared" si="0"/>
        <v>435</v>
      </c>
      <c r="E9" s="77" t="str">
        <f>'Journal de travail'!M11</f>
        <v>Documentation</v>
      </c>
      <c r="F9" s="74" t="str">
        <f t="shared" si="1"/>
        <v>7 h 15 min</v>
      </c>
      <c r="G9" s="75">
        <f t="shared" si="2"/>
        <v>0.31985294117647056</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840</v>
      </c>
      <c r="B11">
        <f>SUM(B6:B10)</f>
        <v>520</v>
      </c>
      <c r="C11">
        <f>SUM(A11:B11)</f>
        <v>1360</v>
      </c>
      <c r="E11" s="81" t="s">
        <v>29</v>
      </c>
      <c r="F11" s="71" t="str">
        <f t="shared" si="1"/>
        <v>22 h 40 min</v>
      </c>
      <c r="G11" s="82">
        <f>C11/C12</f>
        <v>0.25757575757575757</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2026-10-07T19:23:19Z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