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P_parking\fichiers\"/>
    </mc:Choice>
  </mc:AlternateContent>
  <xr:revisionPtr revIDLastSave="0" documentId="13_ncr:1_{D0DE00DC-2F60-4778-97D4-19223198D666}" xr6:coauthVersionLast="47" xr6:coauthVersionMax="47" xr10:uidLastSave="{00000000-0000-0000-0000-000000000000}"/>
  <bookViews>
    <workbookView xWindow="-120" yWindow="-120" windowWidth="51840" windowHeight="211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<sst xmlns="http://schemas.openxmlformats.org/spreadsheetml/2006/main" count="82" uniqueCount="54">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</sst>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740</c:v>
                </c:pt>
                <c:pt idx="2">
                  <c:v>0</c:v>
                </c:pt>
                <c:pt idx="3">
                  <c:v>135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6.4171122994652413E-2</c:v>
                </c:pt>
                <c:pt idx="1">
                  <c:v>0.79144385026737973</c:v>
                </c:pt>
                <c:pt idx="2">
                  <c:v>0</c:v>
                </c:pt>
                <c:pt idx="3">
                  <c:v>0.14438502673796791</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B1" zoomScale="115" zoomScaleNormal="115" workbookViewId="0">
      <pane ySplit="6" topLeftCell="A13" activePane="bottomLeft" state="frozen"/>
      <selection pane="bottomLeft" activeCell="G29" sqref="G29"/>
    </sheetView>
  </sheetViews>
  <sheetFormatPr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16 heures 5 minutes</v>
      </c>
      <c r="D3" s="17"/>
      <c r="E3" s="3"/>
      <c r="F3" s="4" t="s">
        <v>5</v>
      </c>
      <c r="G3" s="65" t="s">
        <v>31</v>
      </c>
    </row>
    <row r="4" spans="1:15" ht="23.25" hidden="1" x14ac:dyDescent="0.35">
      <c r="B4" s="5"/>
      <c r="C4" s="17">
        <f>SUBTOTAL(9,$C$7:$C$531)*60</f>
        <v>540</v>
      </c>
      <c r="D4" s="17">
        <f>SUBTOTAL(9,$D$7:$D$531)</f>
        <v>425</v>
      </c>
      <c r="E4" s="24">
        <f>SUM(C4:D4)</f>
        <v>965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t="str">
        <f>IF(ISBLANK(B27),"",_xlfn.ISOWEEKNUM('Journal de travail'!$B27))</f>
        <v/>
      </c>
      <c r="B27" s="34"/>
      <c r="C27" s="35"/>
      <c r="D27" s="36"/>
      <c r="E27" s="37"/>
      <c r="F27" s="23"/>
      <c r="G27" s="40"/>
    </row>
    <row r="28" spans="1:15" x14ac:dyDescent="0.25">
      <c r="A28" s="62" t="str">
        <f>IF(ISBLANK(B28),"",_xlfn.ISOWEEKNUM('Journal de travail'!$B28))</f>
        <v/>
      </c>
      <c r="B28" s="30"/>
      <c r="C28" s="31"/>
      <c r="D28" s="32"/>
      <c r="E28" s="33"/>
      <c r="F28" s="22"/>
      <c r="G28" s="39"/>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6.4171122994652413E-2</v>
      </c>
      <c r="L6" s="51" t="str">
        <f>'Journal de travail'!M8</f>
        <v>Analyse</v>
      </c>
      <c r="M6" s="52" t="str">
        <f>INT($F$2*N6)&amp;" h "&amp;TEXT(ROUND(MOD($F$2*N6,1)*60,0),"00")&amp;" m"</f>
        <v>17 h 36 m</v>
      </c>
      <c r="N6" s="58">
        <v>0.2</v>
      </c>
    </row>
    <row r="7" spans="1:14" x14ac:dyDescent="0.3">
      <c r="A7">
        <f>SUMIF('Journal de travail'!$E$7:$E$532,Plannification!E7,'Journal de travail'!$C$7:$C$532)*60</f>
        <v>420</v>
      </c>
      <c r="B7">
        <f>SUMIF('Journal de travail'!$E$7:$E$532,Plannification!E7,'Journal de travail'!$D$7:$D$532)</f>
        <v>320</v>
      </c>
      <c r="C7">
        <f t="shared" si="0"/>
        <v>740</v>
      </c>
      <c r="E7" s="73" t="str">
        <f>'Journal de travail'!M9</f>
        <v>Implémentation</v>
      </c>
      <c r="F7" s="74" t="str">
        <f t="shared" ref="F7:F11" si="1">QUOTIENT(SUM(A7:B7),60)&amp;" h "&amp;TEXT(MOD(SUM(A7:B7),60), "00")&amp;" min"</f>
        <v>12 h 20 min</v>
      </c>
      <c r="G7" s="75">
        <f t="shared" ref="G7:G9" si="2">SUM(A7:B7)/$C$11</f>
        <v>0.79144385026737973</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60</v>
      </c>
      <c r="B9">
        <f>SUMIF('Journal de travail'!$E$7:$E$532,Plannification!E9,'Journal de travail'!$D$7:$D$532)</f>
        <v>75</v>
      </c>
      <c r="C9">
        <f t="shared" si="0"/>
        <v>135</v>
      </c>
      <c r="E9" s="77" t="str">
        <f>'Journal de travail'!M11</f>
        <v>Documentation</v>
      </c>
      <c r="F9" s="74" t="str">
        <f t="shared" si="1"/>
        <v>2 h 15 min</v>
      </c>
      <c r="G9" s="75">
        <f t="shared" si="2"/>
        <v>0.14438502673796791</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540</v>
      </c>
      <c r="B11">
        <f>SUM(B6:B10)</f>
        <v>395</v>
      </c>
      <c r="C11">
        <f>SUM(A11:B11)</f>
        <v>935</v>
      </c>
      <c r="E11" s="81" t="s">
        <v>29</v>
      </c>
      <c r="F11" s="71" t="str">
        <f t="shared" si="1"/>
        <v>15 h 35 min</v>
      </c>
      <c r="G11" s="82">
        <f>C11/C12</f>
        <v>0.17708333333333334</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2026-10-03T16:42:50Z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