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D:\P_parking\fichiers\"/>
    </mc:Choice>
  </mc:AlternateContent>
  <xr:revisionPtr revIDLastSave="0" documentId="13_ncr:1_{46D0D849-76F1-47D6-95F1-96C6F6B08156}" xr6:coauthVersionLast="47" xr6:coauthVersionMax="47" xr10:uidLastSave="{00000000-0000-0000-0000-000000000000}"/>
  <bookViews>
    <workbookView xWindow="-12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<sst xmlns="http://schemas.openxmlformats.org/spreadsheetml/2006/main" count="94" uniqueCount="59">
  <si>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</si>
  <si>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</si>
  <si>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</si>
  <si>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</si>
  <si>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</si>
  <si>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</si>
  <si>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</si>
  <si>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</si>
  <si>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</si>
  <si>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</si>
  <si>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</si>
  <si>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</si>
  <si>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</si>
  <si>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</si>
  <si>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</si>
  <si>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</si>
  <si>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</si>
  <si>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</si>
  <si>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</si>
  <si>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</si>
  <si>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</si>
  <si>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</si>
  <si>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</si>
  <si>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</si>
  <si>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</si>
  <si>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</si>
  <si>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</si>
  <si>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</si>
  <si>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</si>
  <si>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</si>
  <si>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</si>
  <si>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</si>
  <si>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</si>
  <si>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</si>
  <si>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</si>
  <si>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</si>
  <si>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</si>
  <si>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</si>
  <si>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</si>
  <si>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</si>
  <si>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</si>
  <si>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</si>
  <si>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</si>
  <si>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</si>
  <si>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</si>
  <si>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</si>
  <si>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</si>
  <si>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</si>
  <si>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Fermer l'application si on met autre chose que les options affichée et qu'on dise "oui".</t>
  </si>
  <si>
    <t>J'ai modifié le calcule du temps et le calcule du prix du ticket qui n'était pas du tout correcte, et j'ai aussi ajouté un prix de ticket minimum. L'affiche du ticket aussi à été modifié ainsi que les véhicules présents dans le parking quand on affiche le parking.</t>
  </si>
  <si>
    <t>On peut désormais afficher toutes les statistiques du jour :  nombre de place occupées, 
% du total, montant total payé, durée de stationnement actuel de tous les véhicules.</t>
  </si>
  <si>
    <t>J'ai ajouté le faite de pouvoir voir toutes les transcations du jours : la plaque de la voiture, heure d'entrée, heure de sortie (si déjà sortie), temps passé dans le parking, prix du ticket (si déjà sortie). S'ils sont rentrés plusieurs fois dans le parking, ils s'afficheront plusieurs fois</t>
  </si>
  <si>
    <t>J'ai ajouté les tests unitaires en testant sur ma methode "CheckLicensePlate"</t>
  </si>
  <si>
    <t>à la maison</t>
  </si>
  <si>
    <t>J'ai ajouté deux autres tests unitaires sur la methode "CheckLicensePlate"</t>
  </si>
  <si>
    <t>J'ai avancé dans le rapport du projet et en partie commanté le code</t>
  </si>
  <si>
    <t>J'ai fini de remplire mon word. En faisant les derniers chapitres (Conception, Utilisation de l'IA, Bilan déroulement, Bilan produit, Conclusion)</t>
  </si>
  <si>
    <t>Finalisation des commentaires du code</t>
  </si>
  <si>
    <t>Modification des commentaires avec les SUMMARY et les RETURNS pour les classes et les méthodes. Aussi modification du projet Test et modification des nom des méthodes de tests. Modification de la section test du rapport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</si>
</sst>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820</c:v>
                </c:pt>
                <c:pt idx="2">
                  <c:v>0</c:v>
                </c:pt>
                <c:pt idx="3">
                  <c:v>405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4.6692607003891051E-2</c:v>
                </c:pt>
                <c:pt idx="1">
                  <c:v>0.63813229571984431</c:v>
                </c:pt>
                <c:pt idx="2">
                  <c:v>0</c:v>
                </c:pt>
                <c:pt idx="3">
                  <c:v>0.31517509727626458</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115" zoomScaleNormal="115" workbookViewId="0">
      <pane ySplit="6" topLeftCell="A31" activePane="bottomLeft" state="frozen"/>
      <selection pane="bottomLeft" activeCell="F32" sqref="F32"/>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21 heures 55 minutes</v>
      </c>
      <c r="D3" s="17"/>
      <c r="E3" s="3"/>
      <c r="F3" s="4" t="s">
        <v>5</v>
      </c>
      <c r="G3" s="65" t="s">
        <v>31</v>
      </c>
    </row>
    <row r="4" spans="1:15" ht="23.25" hidden="1" x14ac:dyDescent="0.35">
      <c r="B4" s="5"/>
      <c r="C4" s="17">
        <f>SUBTOTAL(9,$C$7:$C$531)*60</f>
        <v>840</v>
      </c>
      <c r="D4" s="17">
        <f>SUBTOTAL(9,$D$7:$D$531)</f>
        <v>475</v>
      </c>
      <c r="E4" s="24">
        <f>SUM(C4:D4)</f>
        <v>1315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f>IF(ISBLANK(B13),"",_xlfn.ISOWEEKNUM('Journal de travail'!$B13))</f>
        <v>36</v>
      </c>
      <c r="B13" s="34">
        <v>46269</v>
      </c>
      <c r="C13" s="35"/>
      <c r="D13" s="36">
        <v>30</v>
      </c>
      <c r="E13" s="37" t="s">
        <v>16</v>
      </c>
      <c r="F13" s="23" t="s">
        <v>37</v>
      </c>
      <c r="G13" s="40"/>
      <c r="N13">
        <v>6</v>
      </c>
      <c r="O13">
        <v>25</v>
      </c>
    </row>
    <row r="14" spans="1:15" x14ac:dyDescent="0.25">
      <c r="A14" s="62">
        <f>IF(ISBLANK(B14),"",_xlfn.ISOWEEKNUM('Journal de travail'!$B14))</f>
        <v>37</v>
      </c>
      <c r="B14" s="30">
        <v>46276</v>
      </c>
      <c r="C14" s="31"/>
      <c r="D14" s="32">
        <v>30</v>
      </c>
      <c r="E14" s="33" t="s">
        <v>16</v>
      </c>
      <c r="F14" s="23" t="s">
        <v>38</v>
      </c>
      <c r="G14" s="39"/>
      <c r="N14">
        <v>7</v>
      </c>
      <c r="O14">
        <v>30</v>
      </c>
    </row>
    <row r="15" spans="1:15" x14ac:dyDescent="0.25">
      <c r="A15" s="63">
        <f>IF(ISBLANK(B15),"",_xlfn.ISOWEEKNUM('Journal de travail'!$B15))</f>
        <v>37</v>
      </c>
      <c r="B15" s="34">
        <v>46276</v>
      </c>
      <c r="C15" s="35">
        <v>1</v>
      </c>
      <c r="D15" s="36">
        <v>30</v>
      </c>
      <c r="E15" s="37" t="s">
        <v>16</v>
      </c>
      <c r="F15" s="23" t="s">
        <v>39</v>
      </c>
      <c r="G15" s="40"/>
      <c r="N15">
        <v>8</v>
      </c>
      <c r="O15">
        <v>35</v>
      </c>
    </row>
    <row r="16" spans="1:15" x14ac:dyDescent="0.25">
      <c r="A16" s="62">
        <f>IF(ISBLANK(B16),"",_xlfn.ISOWEEKNUM('Journal de travail'!$B16))</f>
        <v>37</v>
      </c>
      <c r="B16" s="30">
        <v>46276</v>
      </c>
      <c r="C16" s="31"/>
      <c r="D16" s="32">
        <v>30</v>
      </c>
      <c r="E16" s="33" t="s">
        <v>16</v>
      </c>
      <c r="F16" s="23" t="s">
        <v>41</v>
      </c>
      <c r="G16" s="39" t="s">
        <v>40</v>
      </c>
      <c r="O16">
        <v>40</v>
      </c>
    </row>
    <row r="17" spans="1:15" x14ac:dyDescent="0.25">
      <c r="A17" s="63">
        <f>IF(ISBLANK(B17),"",_xlfn.ISOWEEKNUM('Journal de travail'!$B17))</f>
        <v>37</v>
      </c>
      <c r="B17" s="34">
        <v>46276</v>
      </c>
      <c r="C17" s="35"/>
      <c r="D17" s="36">
        <v>30</v>
      </c>
      <c r="E17" s="37" t="s">
        <v>16</v>
      </c>
      <c r="F17" s="23" t="s">
        <v>42</v>
      </c>
      <c r="G17" s="40" t="s">
        <v>40</v>
      </c>
      <c r="O17">
        <v>45</v>
      </c>
    </row>
    <row r="18" spans="1:15" ht="31.5" x14ac:dyDescent="0.25">
      <c r="A18" s="62">
        <f>IF(ISBLANK(B18),"",_xlfn.ISOWEEKNUM('Journal de travail'!$B18))</f>
        <v>38</v>
      </c>
      <c r="B18" s="30">
        <v>46283</v>
      </c>
      <c r="C18" s="31">
        <v>1</v>
      </c>
      <c r="D18" s="32">
        <v>0</v>
      </c>
      <c r="E18" s="33" t="s">
        <v>16</v>
      </c>
      <c r="F18" s="23" t="s">
        <v>43</v>
      </c>
      <c r="G18" s="39"/>
      <c r="O18">
        <v>50</v>
      </c>
    </row>
    <row r="19" spans="1:15" ht="47.25" x14ac:dyDescent="0.25">
      <c r="A19" s="63">
        <f>IF(ISBLANK(B19),"",_xlfn.ISOWEEKNUM('Journal de travail'!$B19))</f>
        <v>38</v>
      </c>
      <c r="B19" s="34">
        <v>46283</v>
      </c>
      <c r="C19" s="35">
        <v>1</v>
      </c>
      <c r="D19" s="36">
        <v>30</v>
      </c>
      <c r="E19" s="37" t="s">
        <v>16</v>
      </c>
      <c r="F19" s="23" t="s">
        <v>44</v>
      </c>
      <c r="G19" s="40"/>
      <c r="O19">
        <v>55</v>
      </c>
    </row>
    <row r="20" spans="1:15" ht="31.5" x14ac:dyDescent="0.25">
      <c r="A20" s="62">
        <f>IF(ISBLANK(B20),"",_xlfn.ISOWEEKNUM('Journal de travail'!$B20))</f>
        <v>39</v>
      </c>
      <c r="B20" s="30">
        <v>46288</v>
      </c>
      <c r="C20" s="31">
        <v>1</v>
      </c>
      <c r="D20" s="32">
        <v>0</v>
      </c>
      <c r="E20" s="33" t="s">
        <v>16</v>
      </c>
      <c r="F20" s="23" t="s">
        <v>45</v>
      </c>
      <c r="G20" s="39" t="s">
        <v>46</v>
      </c>
    </row>
    <row r="21" spans="1:15" ht="47.25" x14ac:dyDescent="0.25">
      <c r="A21" s="63">
        <f>IF(ISBLANK(B21),"",_xlfn.ISOWEEKNUM('Journal de travail'!$B21))</f>
        <v>39</v>
      </c>
      <c r="B21" s="34">
        <v>46290</v>
      </c>
      <c r="C21" s="35"/>
      <c r="D21" s="36">
        <v>30</v>
      </c>
      <c r="E21" s="37" t="s">
        <v>16</v>
      </c>
      <c r="F21" s="23" t="s">
        <v>47</v>
      </c>
      <c r="G21" s="40"/>
    </row>
    <row r="22" spans="1:15" x14ac:dyDescent="0.25">
      <c r="A22" s="62">
        <f>IF(ISBLANK(B22),"",_xlfn.ISOWEEKNUM('Journal de travail'!$B22))</f>
        <v>39</v>
      </c>
      <c r="B22" s="30">
        <v>46290</v>
      </c>
      <c r="C22" s="31"/>
      <c r="D22" s="32">
        <v>20</v>
      </c>
      <c r="E22" s="33" t="s">
        <v>16</v>
      </c>
      <c r="F22" s="23" t="s">
        <v>48</v>
      </c>
      <c r="G22" s="39"/>
    </row>
    <row r="23" spans="1:15" ht="47.25" x14ac:dyDescent="0.25">
      <c r="A23" s="63">
        <f>IF(ISBLANK(B23),"",_xlfn.ISOWEEKNUM('Journal de travail'!$B23))</f>
        <v>40</v>
      </c>
      <c r="B23" s="34">
        <v>46297</v>
      </c>
      <c r="C23" s="35">
        <v>2</v>
      </c>
      <c r="D23" s="36">
        <v>30</v>
      </c>
      <c r="E23" s="37" t="s">
        <v>16</v>
      </c>
      <c r="F23" s="23" t="s">
        <v>49</v>
      </c>
      <c r="G23" s="40"/>
    </row>
    <row r="24" spans="1:15" ht="31.5" x14ac:dyDescent="0.25">
      <c r="A24" s="62">
        <f>IF(ISBLANK(B24),"",_xlfn.ISOWEEKNUM('Journal de travail'!$B24))</f>
        <v>40</v>
      </c>
      <c r="B24" s="30">
        <v>46297</v>
      </c>
      <c r="C24" s="31"/>
      <c r="D24" s="32">
        <v>30</v>
      </c>
      <c r="E24" s="33" t="s">
        <v>16</v>
      </c>
      <c r="F24" s="23" t="s">
        <v>50</v>
      </c>
      <c r="G24" s="39"/>
    </row>
    <row r="25" spans="1:15" ht="47.25" x14ac:dyDescent="0.25">
      <c r="A25" s="63">
        <f>IF(ISBLANK(B25),"",_xlfn.ISOWEEKNUM('Journal de travail'!$B25))</f>
        <v>40</v>
      </c>
      <c r="B25" s="34">
        <v>46298</v>
      </c>
      <c r="C25" s="35">
        <v>1</v>
      </c>
      <c r="D25" s="36">
        <v>0</v>
      </c>
      <c r="E25" s="37" t="s">
        <v>16</v>
      </c>
      <c r="F25" s="23" t="s">
        <v>51</v>
      </c>
      <c r="G25" s="40" t="s">
        <v>53</v>
      </c>
    </row>
    <row r="26" spans="1:15" x14ac:dyDescent="0.25">
      <c r="A26" s="62">
        <f>IF(ISBLANK(B26),"",_xlfn.ISOWEEKNUM('Journal de travail'!$B26))</f>
        <v>40</v>
      </c>
      <c r="B26" s="30">
        <v>46298</v>
      </c>
      <c r="C26" s="31"/>
      <c r="D26" s="32">
        <v>30</v>
      </c>
      <c r="E26" s="33" t="s">
        <v>16</v>
      </c>
      <c r="F26" s="23" t="s">
        <v>52</v>
      </c>
      <c r="G26" s="39" t="s">
        <v>53</v>
      </c>
    </row>
    <row r="27" spans="1:15" x14ac:dyDescent="0.25">
      <c r="A27" s="63">
        <f>IF(ISBLANK(B27),"",_xlfn.ISOWEEKNUM('Journal de travail'!$B27))</f>
        <v>40</v>
      </c>
      <c r="B27" s="34">
        <v>46299</v>
      </c>
      <c r="C27" s="35"/>
      <c r="D27" s="36">
        <v>20</v>
      </c>
      <c r="E27" s="37" t="s">
        <v>16</v>
      </c>
      <c r="F27" s="23" t="s">
        <v>54</v>
      </c>
      <c r="G27" s="40" t="s">
        <v>53</v>
      </c>
    </row>
    <row r="28" spans="1:15" x14ac:dyDescent="0.25">
      <c r="A28" s="62">
        <f>IF(ISBLANK(B28),"",_xlfn.ISOWEEKNUM('Journal de travail'!$B28))</f>
        <v>40</v>
      </c>
      <c r="B28" s="30">
        <v>46299</v>
      </c>
      <c r="C28" s="31">
        <v>1</v>
      </c>
      <c r="D28" s="32">
        <v>0</v>
      </c>
      <c r="E28" s="33" t="s">
        <v>17</v>
      </c>
      <c r="F28" s="22" t="s">
        <v>55</v>
      </c>
      <c r="G28" s="39" t="s">
        <v>53</v>
      </c>
    </row>
    <row r="29" spans="1:15" x14ac:dyDescent="0.25">
      <c r="A29" s="63" t="str">
        <f>IF(ISBLANK(B29),"",_xlfn.ISOWEEKNUM('Journal de travail'!$B29))</f>
        <v/>
      </c>
      <c r="B29" s="34"/>
      <c r="C29" s="35"/>
      <c r="D29" s="36"/>
      <c r="E29" s="37"/>
      <c r="F29" s="22"/>
      <c r="G29" s="40"/>
    </row>
    <row r="30" spans="1:15" ht="31.5" x14ac:dyDescent="0.25">
      <c r="A30" s="62">
        <f>IF(ISBLANK(B30),"",_xlfn.ISOWEEKNUM('Journal de travail'!$B30))</f>
        <v>41</v>
      </c>
      <c r="B30" s="30">
        <v>46300</v>
      </c>
      <c r="C30" s="31">
        <v>3</v>
      </c>
      <c r="D30" s="32">
        <v>0</v>
      </c>
      <c r="E30" s="33" t="s">
        <v>17</v>
      </c>
      <c r="F30" s="23" t="s">
        <v>56</v>
      </c>
      <c r="G30" s="39"/>
    </row>
    <row r="31" spans="1:15" x14ac:dyDescent="0.25">
      <c r="A31" s="63">
        <f>IF(ISBLANK(B31),"",_xlfn.ISOWEEKNUM('Journal de travail'!$B31))</f>
        <v>41</v>
      </c>
      <c r="B31" s="34">
        <v>46300</v>
      </c>
      <c r="C31" s="35"/>
      <c r="D31" s="36">
        <v>30</v>
      </c>
      <c r="E31" s="37" t="s">
        <v>17</v>
      </c>
      <c r="F31" s="22" t="s">
        <v>57</v>
      </c>
      <c r="G31" s="40"/>
    </row>
    <row r="32" spans="1:15" ht="47.25" x14ac:dyDescent="0.25">
      <c r="A32" s="62">
        <f>IF(ISBLANK(B32),"",_xlfn.ISOWEEKNUM('Journal de travail'!$B32))</f>
        <v>41</v>
      </c>
      <c r="B32" s="30">
        <v>46300</v>
      </c>
      <c r="C32" s="31">
        <v>1</v>
      </c>
      <c r="D32" s="32">
        <v>0</v>
      </c>
      <c r="E32" s="33" t="s">
        <v>16</v>
      </c>
      <c r="F32" s="23" t="s">
        <v>58</v>
      </c>
      <c r="G32" s="39"/>
    </row>
    <row r="33" spans="1:7" x14ac:dyDescent="0.25">
      <c r="A33" s="63" t="str">
        <f>IF(ISBLANK(B33),"",_xlfn.ISOWEEKNUM('Journal de travail'!$B33))</f>
        <v/>
      </c>
      <c r="B33" s="34"/>
      <c r="C33" s="35"/>
      <c r="D33" s="36"/>
      <c r="E33" s="37"/>
      <c r="F33" s="22"/>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4.6692607003891051E-2</v>
      </c>
      <c r="L6" s="51" t="str">
        <f>'Journal de travail'!M8</f>
        <v>Analyse</v>
      </c>
      <c r="M6" s="52" t="str">
        <f>INT($F$2*N6)&amp;" h "&amp;TEXT(ROUND(MOD($F$2*N6,1)*60,0),"00")&amp;" m"</f>
        <v>17 h 36 m</v>
      </c>
      <c r="N6" s="58">
        <v>0.2</v>
      </c>
    </row>
    <row r="7" spans="1:14" x14ac:dyDescent="0.3">
      <c r="A7">
        <f>SUMIF('Journal de travail'!$E$7:$E$532,Plannification!E7,'Journal de travail'!$C$7:$C$532)*60</f>
        <v>480</v>
      </c>
      <c r="B7">
        <f>SUMIF('Journal de travail'!$E$7:$E$532,Plannification!E7,'Journal de travail'!$D$7:$D$532)</f>
        <v>340</v>
      </c>
      <c r="C7">
        <f t="shared" si="0"/>
        <v>820</v>
      </c>
      <c r="E7" s="73" t="str">
        <f>'Journal de travail'!M9</f>
        <v>Implémentation</v>
      </c>
      <c r="F7" s="74" t="str">
        <f t="shared" ref="F7:F11" si="1">QUOTIENT(SUM(A7:B7),60)&amp;" h "&amp;TEXT(MOD(SUM(A7:B7),60), "00")&amp;" min"</f>
        <v>13 h 40 min</v>
      </c>
      <c r="G7" s="75">
        <f t="shared" ref="G7:G9" si="2">SUM(A7:B7)/$C$11</f>
        <v>0.63813229571984431</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300</v>
      </c>
      <c r="B9">
        <f>SUMIF('Journal de travail'!$E$7:$E$532,Plannification!E9,'Journal de travail'!$D$7:$D$532)</f>
        <v>105</v>
      </c>
      <c r="C9">
        <f t="shared" si="0"/>
        <v>405</v>
      </c>
      <c r="E9" s="77" t="str">
        <f>'Journal de travail'!M11</f>
        <v>Documentation</v>
      </c>
      <c r="F9" s="74" t="str">
        <f t="shared" si="1"/>
        <v>6 h 45 min</v>
      </c>
      <c r="G9" s="75">
        <f t="shared" si="2"/>
        <v>0.31517509727626458</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840</v>
      </c>
      <c r="B11">
        <f>SUM(B6:B10)</f>
        <v>445</v>
      </c>
      <c r="C11">
        <f>SUM(A11:B11)</f>
        <v>1285</v>
      </c>
      <c r="E11" s="81" t="s">
        <v>29</v>
      </c>
      <c r="F11" s="71" t="str">
        <f t="shared" si="1"/>
        <v>21 h 25 min</v>
      </c>
      <c r="G11" s="82">
        <f>C11/C12</f>
        <v>0.24337121212121213</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2026-10-05T09:55:42Z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