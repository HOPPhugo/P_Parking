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E868C451-3371-4584-B346-521398E381EE}"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<sst xmlns="http://schemas.openxmlformats.org/spreadsheetml/2006/main" count="76" uniqueCount="51">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</sst>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650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7.1005917159763315E-2</c:v>
                </c:pt>
                <c:pt idx="1">
                  <c:v>0.76923076923076927</c:v>
                </c:pt>
                <c:pt idx="2">
                  <c:v>0</c:v>
                </c:pt>
                <c:pt idx="3">
                  <c:v>0.15976331360946747</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115" zoomScaleNormal="115" workbookViewId="0">
      <pane ySplit="6" topLeftCell="A21" activePane="bottomLeft" state="frozen"/>
      <selection pane="bottomLeft" activeCell="F25" sqref="F25"/>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14 heures 35 minutes</v>
      </c>
      <c r="D3" s="17"/>
      <c r="E3" s="3"/>
      <c r="F3" s="4" t="s">
        <v>5</v>
      </c>
      <c r="G3" s="65" t="s">
        <v>31</v>
      </c>
    </row>
    <row r="4" spans="1:15" ht="23.25" hidden="1" x14ac:dyDescent="0.35">
      <c r="B4" s="5"/>
      <c r="C4" s="17">
        <f>SUBTOTAL(9,$C$7:$C$531)*60</f>
        <v>480</v>
      </c>
      <c r="D4" s="17">
        <f>SUBTOTAL(9,$D$7:$D$531)</f>
        <v>395</v>
      </c>
      <c r="E4" s="24">
        <f>SUM(C4:D4)</f>
        <v>875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x14ac:dyDescent="0.25">
      <c r="A25" s="63" t="str">
        <f>IF(ISBLANK(B25),"",_xlfn.ISOWEEKNUM('Journal de travail'!$B25))</f>
        <v/>
      </c>
      <c r="B25" s="34"/>
      <c r="C25" s="35"/>
      <c r="D25" s="36"/>
      <c r="E25" s="37"/>
      <c r="F25" s="23"/>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7.1005917159763315E-2</v>
      </c>
      <c r="L6" s="51" t="str">
        <f>'Journal de travail'!M8</f>
        <v>Analyse</v>
      </c>
      <c r="M6" s="52" t="str">
        <f>INT($F$2*N6)&amp;" h "&amp;TEXT(ROUND(MOD($F$2*N6,1)*60,0),"00")&amp;" m"</f>
        <v>17 h 36 m</v>
      </c>
      <c r="N6" s="58">
        <v>0.2</v>
      </c>
    </row>
    <row r="7" spans="1:14" x14ac:dyDescent="0.3">
      <c r="A7">
        <f>SUMIF('Journal de travail'!$E$7:$E$532,Plannification!E7,'Journal de travail'!$C$7:$C$532)*60</f>
        <v>360</v>
      </c>
      <c r="B7">
        <f>SUMIF('Journal de travail'!$E$7:$E$532,Plannification!E7,'Journal de travail'!$D$7:$D$532)</f>
        <v>290</v>
      </c>
      <c r="C7">
        <f t="shared" si="0"/>
        <v>650</v>
      </c>
      <c r="E7" s="73" t="str">
        <f>'Journal de travail'!M9</f>
        <v>Implémentation</v>
      </c>
      <c r="F7" s="74" t="str">
        <f t="shared" ref="F7:F11" si="1">QUOTIENT(SUM(A7:B7),60)&amp;" h "&amp;TEXT(MOD(SUM(A7:B7),60), "00")&amp;" min"</f>
        <v>10 h 50 min</v>
      </c>
      <c r="G7" s="75">
        <f t="shared" ref="G7:G9" si="2">SUM(A7:B7)/$C$11</f>
        <v>0.76923076923076927</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0.15976331360946747</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480</v>
      </c>
      <c r="B11">
        <f>SUM(B6:B10)</f>
        <v>365</v>
      </c>
      <c r="C11">
        <f>SUM(A11:B11)</f>
        <v>845</v>
      </c>
      <c r="E11" s="81" t="s">
        <v>29</v>
      </c>
      <c r="F11" s="71" t="str">
        <f t="shared" si="1"/>
        <v>14 h 05 min</v>
      </c>
      <c r="G11" s="82">
        <f>C11/C12</f>
        <v>0.16003787878787878</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2026-10-02T08:58:56Z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