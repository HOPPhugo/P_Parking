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P_parking\fichiers\"/>
    </mc:Choice>
  </mc:AlternateContent>
  <xr:revisionPtr revIDLastSave="0" documentId="13_ncr:1_{94DDFBBF-6545-4A4E-BFE9-01C2CBE73FAB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<sst xmlns="http://schemas.openxmlformats.org/spreadsheetml/2006/main" count="89" uniqueCount="39">
  <si>
    <t>Journal de travail</t>
  </si>
  <si>
    <t>Auteur:</t>
  </si>
  <si>
    <t>Schweizer Hugo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</si>
  <si>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</si>
  <si>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</si>
  <si>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</si>
  <si>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</si>
  <si>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</si>
  <si>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</si>
  <si>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</si>
  <si>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</si>
  <si>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</si>
  <si>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</si>
  <si>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</si>
  <si>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</si>
  <si>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Test</t>
  </si>
  <si>
    <t>Implémentation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</si>
  <si>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</si>
  <si>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</si>
  <si>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</si>
  <si>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</si>
  <si>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</si>
  <si>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</si>
  <si>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</si>
  <si>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</si>
  <si>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</si>
  <si>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</si>
  <si>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</si>
  <si>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</si>
  <si>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</si>
  <si>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P_Parking</t>
  </si>
  <si>
    <t>28.08.2026 au 30.10.2026 - P_Parking</t>
  </si>
  <si>
    <t>Introduction au module</t>
  </si>
  <si>
    <t>Completion du rapport</t>
  </si>
  <si>
    <t>Remplissage de la planification</t>
  </si>
  <si>
    <t>J'ai aidé un camarade pour github DeskTop</t>
  </si>
  <si>
    <t>Planification finie</t>
  </si>
  <si>
    <t>Initialisation C# terminée (Imaginer et créer l'interface utilisateur pour pouvoir y afficher les données dès qu'elles seront utilisables.)</t>
  </si>
  <si>
    <t>Interface utilisateur finie (Avec de fausses données, il faut simplement les remplacer)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</si>
</sst>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60</c:v>
                </c:pt>
                <c:pt idx="2">
                  <c:v>0</c:v>
                </c:pt>
                <c:pt idx="3">
                  <c:v>135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0.23529411764705882</c:v>
                </c:pt>
                <c:pt idx="1">
                  <c:v>0.23529411764705882</c:v>
                </c:pt>
                <c:pt idx="2">
                  <c:v>0</c:v>
                </c:pt>
                <c:pt idx="3">
                  <c:v>0.52941176470588236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C1" zoomScale="115" zoomScaleNormal="115" workbookViewId="0">
      <pane ySplit="6" topLeftCell="A7" activePane="bottomLeft" state="frozen"/>
      <selection pane="bottomLeft" activeCell="F15" sqref="F15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4 heures 45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165</v>
      </c>
      <c r="E4" s="24">
        <f>SUM(C4:D4)</f>
        <v>285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46262</v>
      </c>
      <c r="C7" s="27">
        <v>1</v>
      </c>
      <c r="D7" s="28">
        <v>0</v>
      </c>
      <c r="E7" s="29" t="s">
        <v>14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46262</v>
      </c>
      <c r="C8" s="31">
        <v>1</v>
      </c>
      <c r="D8" s="32">
        <v>0</v>
      </c>
      <c r="E8" s="33" t="s">
        <v>17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46262</v>
      </c>
      <c r="C9" s="35"/>
      <c r="D9" s="36">
        <v>30</v>
      </c>
      <c r="E9" s="37" t="s">
        <v>17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46262</v>
      </c>
      <c r="C10" s="31"/>
      <c r="D10" s="32">
        <v>30</v>
      </c>
      <c r="E10" s="33"/>
      <c r="F10" s="23" t="s">
        <v>35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46262</v>
      </c>
      <c r="C11" s="35"/>
      <c r="D11" s="36">
        <v>30</v>
      </c>
      <c r="E11" s="37" t="s">
        <v>17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46269</v>
      </c>
      <c r="C12" s="31"/>
      <c r="D12" s="32">
        <v>15</v>
      </c>
      <c r="E12" s="33" t="s">
        <v>17</v>
      </c>
      <c r="F12" s="23" t="s">
        <v>36</v>
      </c>
      <c r="G12" s="39"/>
      <c r="M12" t="s">
        <v>18</v>
      </c>
      <c r="N12">
        <v>5</v>
      </c>
      <c r="O12">
        <v>20</v>
      </c>
    </row>
    <row r="13" spans="1:15" ht="31.5" x14ac:dyDescent="0.25">
      <c r="A13" s="63" t="str">
        <f>IF(ISBLANK(B13),"",_xlfn.ISOWEEKNUM('Journal de travail'!$B13))</f>
        <v/>
      </c>
      <c r="B13" s="34"/>
      <c r="C13" s="35"/>
      <c r="D13" s="36">
        <v>30</v>
      </c>
      <c r="E13" s="37" t="s">
        <v>16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>
        <v>30</v>
      </c>
      <c r="E14" s="33" t="s">
        <v>16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G8" sqref="G8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0.23529411764705882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60</v>
      </c>
      <c r="C7">
        <f t="shared" si="0"/>
        <v>60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00 min</v>
      </c>
      <c r="G7" s="75">
        <f t="shared" ref="G7:G9" si="2">SUM(A7:B7)/$C$11</f>
        <v>0.23529411764705882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44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75</v>
      </c>
      <c r="C9">
        <f t="shared" si="0"/>
        <v>135</v>
      </c>
      <c r="E9" s="77" t="str">
        <f>'Journal de travail'!M11</f>
        <v>Documentation</v>
      </c>
      <c r="F9" s="74" t="str">
        <f t="shared" si="1"/>
        <v>2 h 15 min</v>
      </c>
      <c r="G9" s="75">
        <f t="shared" si="2"/>
        <v>0.52941176470588236</v>
      </c>
      <c r="L9" s="55" t="str">
        <f>'Journal de travail'!M11</f>
        <v>Documentation</v>
      </c>
      <c r="M9" s="52" t="str">
        <f t="shared" si="3"/>
        <v>17 h 36 m</v>
      </c>
      <c r="N9" s="59">
        <v>0.2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135</v>
      </c>
      <c r="C11">
        <f>SUM(A11:B11)</f>
        <v>255</v>
      </c>
      <c r="E11" s="81" t="s">
        <v>29</v>
      </c>
      <c r="F11" s="71" t="str">
        <f t="shared" si="1"/>
        <v>4 h 15 min</v>
      </c>
      <c r="G11" s="82">
        <f>C11/C12</f>
        <v>4.8295454545454544E-2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5aGPoTqGmkyjsdpSMN178N1WBFC1VMTKFkm66m+6Yog7xX7DUJiACAUjm3QdOBaqrz5f2f7Cd0Udr+YLoex+Rw==" saltValue="y9meuOEPmAMrI+vrG0x/l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2" ma:contentTypeDescription="Crée un document." ma:contentTypeScope="" ma:versionID="f210a10b50758f5c26f5e6d0f6112e94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7077db147fa9f705bc2534cfd13fe774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73a841-596c-4be8-af39-2504078c3bb2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C7F4A39-09D3-4CB7-8797-AEDEE0DBA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Hugo Schweizer</cp:lastModifiedBy>
  <cp:revision/>
  <dcterms:created xsi:type="dcterms:W3CDTF">2023-11-21T20:00:34Z</dcterms:created>
  <dcterms:modified xsi:type="dcterms:W3CDTF">2026-09-11T06:50:23Z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MediaServiceImageTags">
    <vt:lpwstr/>
  </property>
</Properties>
</file>