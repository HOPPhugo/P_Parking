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73D64694-56FA-40D0-BD49-142C70EF993B}"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<sst xmlns="http://schemas.openxmlformats.org/spreadsheetml/2006/main" count="92" uniqueCount="58">
  <si>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</si>
  <si>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</si>
  <si>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</si>
  <si>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</si>
  <si>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</si>
  <si>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</si>
  <si>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</si>
  <si>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</si>
  <si>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</si>
  <si>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</si>
  <si>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</si>
  <si>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</si>
  <si>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</si>
  <si>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</si>
  <si>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</si>
  <si>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</si>
  <si>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</si>
  <si>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</si>
  <si>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</si>
  <si>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</si>
  <si>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</si>
  <si>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</si>
  <si>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</si>
  <si>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</si>
  <si>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</si>
  <si>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</si>
  <si>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</si>
  <si>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</si>
  <si>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</si>
  <si>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</si>
  <si>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</si>
  <si>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</si>
  <si>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</si>
  <si>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</si>
  <si>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</si>
  <si>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</si>
  <si>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</si>
  <si>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</si>
  <si>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</si>
  <si>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</si>
  <si>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</si>
  <si>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</si>
  <si>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</si>
  <si>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</si>
  <si>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</si>
  <si>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</si>
  <si>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</si>
  <si>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</si>
  <si>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</si>
  <si>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</si>
  <si>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</si>
  <si>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</si>
  <si>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</si>
  <si>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</si>
  <si>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</si>
  <si>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</si>
  <si>
    <t>J'ai fini de remplire mon word. En faisant les derniers chapitres (Conception, Utilisation de l'IA, Bilan déroulement, Bilan produit, Conclusion)</t>
  </si>
  <si>
    <t>Finalisation des commentaires du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</si>
</sst>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760</c:v>
                </c:pt>
                <c:pt idx="2">
                  <c:v>0</c:v>
                </c:pt>
                <c:pt idx="3">
                  <c:v>405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4.8979591836734691E-2</c:v>
                </c:pt>
                <c:pt idx="1">
                  <c:v>0.62040816326530612</c:v>
                </c:pt>
                <c:pt idx="2">
                  <c:v>0</c:v>
                </c:pt>
                <c:pt idx="3">
                  <c:v>0.33061224489795921</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20" activePane="bottomLeft" state="frozen"/>
      <selection pane="bottomLeft" activeCell="F32" sqref="F32"/>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20 heures 55 minutes</v>
      </c>
      <c r="D3" s="17"/>
      <c r="E3" s="3"/>
      <c r="F3" s="4" t="s">
        <v>5</v>
      </c>
      <c r="G3" s="65" t="s">
        <v>31</v>
      </c>
    </row>
    <row r="4" spans="1:15" ht="23.25" hidden="1" x14ac:dyDescent="0.35">
      <c r="B4" s="5"/>
      <c r="C4" s="17">
        <f>SUBTOTAL(9,$C$7:$C$531)*60</f>
        <v>780</v>
      </c>
      <c r="D4" s="17">
        <f>SUBTOTAL(9,$D$7:$D$531)</f>
        <v>475</v>
      </c>
      <c r="E4" s="24">
        <f>SUM(C4:D4)</f>
        <v>1255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v>0</v>
      </c>
      <c r="E28" s="33" t="s">
        <v>17</v>
      </c>
      <c r="F28" s="22" t="s">
        <v>55</v>
      </c>
      <c r="G28" s="39" t="s">
        <v>53</v>
      </c>
    </row>
    <row r="29" spans="1:15" x14ac:dyDescent="0.25">
      <c r="A29" s="63" t="str">
        <f>IF(ISBLANK(B29),"",_xlfn.ISOWEEKNUM('Journal de travail'!$B29))</f>
        <v/>
      </c>
      <c r="B29" s="34"/>
      <c r="C29" s="35"/>
      <c r="D29" s="36"/>
      <c r="E29" s="37"/>
      <c r="F29" s="22"/>
      <c r="G29" s="40"/>
    </row>
    <row r="30" spans="1:15" ht="31.5" x14ac:dyDescent="0.25">
      <c r="A30" s="62">
        <f>IF(ISBLANK(B30),"",_xlfn.ISOWEEKNUM('Journal de travail'!$B30))</f>
        <v>41</v>
      </c>
      <c r="B30" s="30">
        <v>46300</v>
      </c>
      <c r="C30" s="31">
        <v>3</v>
      </c>
      <c r="D30" s="32">
        <v>0</v>
      </c>
      <c r="E30" s="33" t="s">
        <v>17</v>
      </c>
      <c r="F30" s="23" t="s">
        <v>56</v>
      </c>
      <c r="G30" s="39"/>
    </row>
    <row r="31" spans="1:15" x14ac:dyDescent="0.25">
      <c r="A31" s="63">
        <f>IF(ISBLANK(B31),"",_xlfn.ISOWEEKNUM('Journal de travail'!$B31))</f>
        <v>41</v>
      </c>
      <c r="B31" s="34">
        <v>46300</v>
      </c>
      <c r="C31" s="35"/>
      <c r="D31" s="36">
        <v>30</v>
      </c>
      <c r="E31" s="37" t="s">
        <v>17</v>
      </c>
      <c r="F31" s="22" t="s">
        <v>57</v>
      </c>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4.8979591836734691E-2</v>
      </c>
      <c r="L6" s="51" t="str">
        <f>'Journal de travail'!M8</f>
        <v>Analyse</v>
      </c>
      <c r="M6" s="52" t="str">
        <f>INT($F$2*N6)&amp;" h "&amp;TEXT(ROUND(MOD($F$2*N6,1)*60,0),"00")&amp;" m"</f>
        <v>17 h 36 m</v>
      </c>
      <c r="N6" s="58">
        <v>0.2</v>
      </c>
    </row>
    <row r="7" spans="1:14" x14ac:dyDescent="0.3">
      <c r="A7">
        <f>SUMIF('Journal de travail'!$E$7:$E$532,Plannification!E7,'Journal de travail'!$C$7:$C$532)*60</f>
        <v>420</v>
      </c>
      <c r="B7">
        <f>SUMIF('Journal de travail'!$E$7:$E$532,Plannification!E7,'Journal de travail'!$D$7:$D$532)</f>
        <v>340</v>
      </c>
      <c r="C7">
        <f t="shared" si="0"/>
        <v>760</v>
      </c>
      <c r="E7" s="73" t="str">
        <f>'Journal de travail'!M9</f>
        <v>Implémentation</v>
      </c>
      <c r="F7" s="74" t="str">
        <f t="shared" ref="F7:F11" si="1">QUOTIENT(SUM(A7:B7),60)&amp;" h "&amp;TEXT(MOD(SUM(A7:B7),60), "00")&amp;" min"</f>
        <v>12 h 40 min</v>
      </c>
      <c r="G7" s="75">
        <f t="shared" ref="G7:G9" si="2">SUM(A7:B7)/$C$11</f>
        <v>0.62040816326530612</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300</v>
      </c>
      <c r="B9">
        <f>SUMIF('Journal de travail'!$E$7:$E$532,Plannification!E9,'Journal de travail'!$D$7:$D$532)</f>
        <v>105</v>
      </c>
      <c r="C9">
        <f t="shared" si="0"/>
        <v>405</v>
      </c>
      <c r="E9" s="77" t="str">
        <f>'Journal de travail'!M11</f>
        <v>Documentation</v>
      </c>
      <c r="F9" s="74" t="str">
        <f t="shared" si="1"/>
        <v>6 h 45 min</v>
      </c>
      <c r="G9" s="75">
        <f t="shared" si="2"/>
        <v>0.33061224489795921</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780</v>
      </c>
      <c r="B11">
        <f>SUM(B6:B10)</f>
        <v>445</v>
      </c>
      <c r="C11">
        <f>SUM(A11:B11)</f>
        <v>1225</v>
      </c>
      <c r="E11" s="81" t="s">
        <v>29</v>
      </c>
      <c r="F11" s="71" t="str">
        <f t="shared" si="1"/>
        <v>20 h 25 min</v>
      </c>
      <c r="G11" s="82">
        <f>C11/C12</f>
        <v>0.23200757575757575</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2026-10-05T08:57:46Z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