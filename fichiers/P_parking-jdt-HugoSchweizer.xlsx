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D:\P_parking\fichiers\"/>
    </mc:Choice>
  </mc:AlternateContent>
  <xr:revisionPtr revIDLastSave="0" documentId="13_ncr:1_{A590C98D-83D3-47B6-A038-E91070064EBF}" xr6:coauthVersionLast="47" xr6:coauthVersionMax="47" xr10:uidLastSave="{00000000-0000-0000-0000-000000000000}"/>
  <bookViews>
    <workbookView xWindow="-120" yWindow="-120" windowWidth="29040" windowHeight="1572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<sst xmlns="http://schemas.openxmlformats.org/spreadsheetml/2006/main" count="90" uniqueCount="57">
  <si>
    <t>Journal de travail</t>
  </si>
  <si>
    <t>Auteur:</t>
  </si>
  <si>
    <t>Schweizer Hugo</t>
  </si>
  <si>
    <t>Projet:</t>
  </si>
  <si>
    <t>Temps total:</t>
  </si>
  <si>
    <t>Date:</t>
  </si>
  <si>
    <t>Temps</t>
  </si>
  <si>
    <t>Semaine</t>
  </si>
  <si>
    <t>Jour</t>
  </si>
  <si>
    <t xml:space="preserve">h.      </t>
  </si>
  <si>
    <t>min.</t>
  </si>
  <si>
    <t>Type</t>
  </si>
  <si>
    <t>Description</t>
  </si>
  <si>
    <t>Remarques/problèmes</t>
  </si>
  <si>
    <t>Analyse</t>
  </si>
  <si>
    <t>Test</t>
  </si>
  <si>
    <t>Implémentation</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</si>
  <si>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</si>
  <si>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</si>
  <si>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</si>
  <si>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</si>
  <si>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</si>
  <si>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</si>
  <si>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</si>
  <si>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</si>
  <si>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</si>
  <si>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</si>
  <si>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</si>
  <si>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</si>
  <si>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</si>
  <si>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P_Parking</t>
  </si>
  <si>
    <t>28.08.2026 au 30.10.2026 - P_Parking</t>
  </si>
  <si>
    <t>Introduction au module</t>
  </si>
  <si>
    <t>Completion du rapport</t>
  </si>
  <si>
    <t>Remplissage de la planification</t>
  </si>
  <si>
    <t>J'ai aidé un camarade pour github DeskTop</t>
  </si>
  <si>
    <t>Planification finie</t>
  </si>
  <si>
    <t>Initialisation C# terminée (Imaginer et créer l'interface utilisateur pour pouvoir y afficher les données dès qu'elles seront utilisables.)</t>
  </si>
  <si>
    <t>Interface utilisateur finie (Avec de fausses données, il faut simplement les remplacer)</t>
  </si>
  <si>
    <t>J'ai créé et initailisé toutes les classes nécessaires (tous leurs attributs, et leur concepteur)</t>
  </si>
  <si>
    <t>en cours de I106, pendant le temps libre</t>
  </si>
  <si>
    <t>J'ai ajouté le faite de pouvoir entrer un vehicule (plus qu'as verifier si la plaque est bonne)</t>
  </si>
  <si>
    <t>Vérification de la plaque d'immatriculation faite</t>
  </si>
  <si>
    <t>Vérification de la plaque d'immatriculation améliorée ( je me suis rendu compte qu'elle ne gérait pas tout les cas) et création du ticket faite</t>
  </si>
  <si>
    <t xml:space="preserve">Sortie d'un véhicule finie, il y a différents messages d'erreurs si le véhicule n'est pas dans le parking ou si la place est déjà libre. Ça nous demande bien si on est sur de vouloir sortir la voiture et nous affiche toutes les informations qui sont en relation. </t>
  </si>
  <si>
    <t>Affichage du parking graphiquement avec les numeros de place et une indications de si elles sont libres ou non.</t>
  </si>
  <si>
    <t>Fait à moitié en cours I106, pendant le temps libre</t>
  </si>
  <si>
    <t>Recherche d'un vehicule dans le parking, affiche les informations du vehicule si réussi et de son ticket actuelle ( si il était déjà venu dans le parking au paravent, cet ancien ticket ne sera pas affiché).</t>
  </si>
  <si>
    <t>Fermer l'application si on met autre chose que les options affichée et qu'on dise "oui".</t>
  </si>
  <si>
    <t>J'ai modifié le calcule du temps et le calcule du prix du ticket qui n'était pas du tout correcte, et j'ai aussi ajouté un prix de ticket minimum. L'affiche du ticket aussi à été modifié ainsi que les véhicules présents dans le parking quand on affiche le parking.</t>
  </si>
  <si>
    <t>On peut désormais afficher toutes les statistiques du jour :  nombre de place occupées, 
% du total, montant total payé, durée de stationnement actuel de tous les véhicules.</t>
  </si>
  <si>
    <t>J'ai ajouté le faite de pouvoir voir toutes les transcations du jours : la plaque de la voiture, heure d'entrée, heure de sortie (si déjà sortie), temps passé dans le parking, prix du ticket (si déjà sortie). S'ils sont rentrés plusieurs fois dans le parking, ils s'afficheront plusieurs fois</t>
  </si>
  <si>
    <t>J'ai ajouté les tests unitaires en testant sur ma methode "CheckLicensePlate"</t>
  </si>
  <si>
    <t>à la maison</t>
  </si>
  <si>
    <t>J'ai ajouté deux autres tests unitaires sur la methode "CheckLicensePlate"</t>
  </si>
  <si>
    <t>J'ai avancé dans le rapport du projet et en partie commanté le code</t>
  </si>
  <si>
    <t>J'ai fini de remplire mon word. En faisant les derniers chapitres (Conception, Utilisation de l'IA, Bilan déroulement, Bilan produit, Conclusion)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</si>
</sst>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60</c:v>
                </c:pt>
                <c:pt idx="1">
                  <c:v>760</c:v>
                </c:pt>
                <c:pt idx="2">
                  <c:v>0</c:v>
                </c:pt>
                <c:pt idx="3">
                  <c:v>375</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877-BF46-A280-9AE4DAD1572E}"/>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dLbl>
              <c:idx val="4"/>
              <c:layout>
                <c:manualLayout>
                  <c:x val="-3.183571491795857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A4-1D44-BA94-80D9B5CA27D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dLbl>
              <c:idx val="4"/>
              <c:layout>
                <c:manualLayout>
                  <c:x val="3.4031281464024517E-2"/>
                  <c:y val="-3.0887932905310913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A4-1D44-BA94-80D9B5CA27D4}"/>
                </c:ext>
              </c:extLst>
            </c:dLbl>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Plannification!$G$6:$G$10</c:f>
              <c:numCache>
                <c:formatCode>0.00%</c:formatCode>
                <c:ptCount val="5"/>
                <c:pt idx="0">
                  <c:v>5.0209205020920501E-2</c:v>
                </c:pt>
                <c:pt idx="1">
                  <c:v>0.63598326359832635</c:v>
                </c:pt>
                <c:pt idx="2">
                  <c:v>0</c:v>
                </c:pt>
                <c:pt idx="3">
                  <c:v>0.31380753138075312</c:v>
                </c:pt>
                <c:pt idx="4">
                  <c:v>0</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115" zoomScaleNormal="115" workbookViewId="0">
      <pane ySplit="6" topLeftCell="A20" activePane="bottomLeft" state="frozen"/>
      <selection pane="bottomLeft" activeCell="F30" sqref="F30"/>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20 heures 25 minutes</v>
      </c>
      <c r="D3" s="17"/>
      <c r="E3" s="3"/>
      <c r="F3" s="4" t="s">
        <v>5</v>
      </c>
      <c r="G3" s="65" t="s">
        <v>31</v>
      </c>
    </row>
    <row r="4" spans="1:15" ht="23.25" hidden="1" x14ac:dyDescent="0.35">
      <c r="B4" s="5"/>
      <c r="C4" s="17">
        <f>SUBTOTAL(9,$C$7:$C$531)*60</f>
        <v>780</v>
      </c>
      <c r="D4" s="17">
        <f>SUBTOTAL(9,$D$7:$D$531)</f>
        <v>445</v>
      </c>
      <c r="E4" s="24">
        <f>SUM(C4:D4)</f>
        <v>1225</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46262</v>
      </c>
      <c r="C7" s="27">
        <v>1</v>
      </c>
      <c r="D7" s="28">
        <v>0</v>
      </c>
      <c r="E7" s="29" t="s">
        <v>14</v>
      </c>
      <c r="F7" s="23" t="s">
        <v>32</v>
      </c>
      <c r="G7" s="38"/>
    </row>
    <row r="8" spans="1:15" x14ac:dyDescent="0.25">
      <c r="A8" s="62">
        <f>IF(ISBLANK(B8),"",_xlfn.ISOWEEKNUM('Journal de travail'!$B8))</f>
        <v>35</v>
      </c>
      <c r="B8" s="30">
        <v>46262</v>
      </c>
      <c r="C8" s="31">
        <v>1</v>
      </c>
      <c r="D8" s="32">
        <v>0</v>
      </c>
      <c r="E8" s="33" t="s">
        <v>17</v>
      </c>
      <c r="F8" s="23" t="s">
        <v>33</v>
      </c>
      <c r="G8" s="39"/>
      <c r="M8" t="s">
        <v>14</v>
      </c>
      <c r="N8">
        <v>1</v>
      </c>
      <c r="O8">
        <v>0</v>
      </c>
    </row>
    <row r="9" spans="1:15" x14ac:dyDescent="0.25">
      <c r="A9" s="63">
        <f>IF(ISBLANK(B9),"",_xlfn.ISOWEEKNUM('Journal de travail'!$B9))</f>
        <v>35</v>
      </c>
      <c r="B9" s="34">
        <v>46262</v>
      </c>
      <c r="C9" s="35"/>
      <c r="D9" s="36">
        <v>30</v>
      </c>
      <c r="E9" s="37" t="s">
        <v>17</v>
      </c>
      <c r="F9" s="23" t="s">
        <v>34</v>
      </c>
      <c r="G9" s="40"/>
      <c r="M9" t="s">
        <v>16</v>
      </c>
      <c r="N9">
        <v>2</v>
      </c>
      <c r="O9">
        <v>5</v>
      </c>
    </row>
    <row r="10" spans="1:15" x14ac:dyDescent="0.25">
      <c r="A10" s="62">
        <f>IF(ISBLANK(B10),"",_xlfn.ISOWEEKNUM('Journal de travail'!$B10))</f>
        <v>35</v>
      </c>
      <c r="B10" s="30">
        <v>46262</v>
      </c>
      <c r="C10" s="31"/>
      <c r="D10" s="32">
        <v>30</v>
      </c>
      <c r="E10" s="33"/>
      <c r="F10" s="23" t="s">
        <v>35</v>
      </c>
      <c r="G10" s="39"/>
      <c r="M10" t="s">
        <v>15</v>
      </c>
      <c r="N10">
        <v>3</v>
      </c>
      <c r="O10">
        <v>10</v>
      </c>
    </row>
    <row r="11" spans="1:15" x14ac:dyDescent="0.25">
      <c r="A11" s="63">
        <f>IF(ISBLANK(B11),"",_xlfn.ISOWEEKNUM('Journal de travail'!$B11))</f>
        <v>35</v>
      </c>
      <c r="B11" s="34">
        <v>46262</v>
      </c>
      <c r="C11" s="35"/>
      <c r="D11" s="36">
        <v>30</v>
      </c>
      <c r="E11" s="37" t="s">
        <v>17</v>
      </c>
      <c r="F11" s="23" t="s">
        <v>34</v>
      </c>
      <c r="G11" s="40"/>
      <c r="M11" t="s">
        <v>17</v>
      </c>
      <c r="N11">
        <v>4</v>
      </c>
      <c r="O11">
        <v>15</v>
      </c>
    </row>
    <row r="12" spans="1:15" x14ac:dyDescent="0.25">
      <c r="A12" s="62">
        <f>IF(ISBLANK(B12),"",_xlfn.ISOWEEKNUM('Journal de travail'!$B12))</f>
        <v>36</v>
      </c>
      <c r="B12" s="30">
        <v>46269</v>
      </c>
      <c r="C12" s="31"/>
      <c r="D12" s="32">
        <v>15</v>
      </c>
      <c r="E12" s="33" t="s">
        <v>17</v>
      </c>
      <c r="F12" s="23" t="s">
        <v>36</v>
      </c>
      <c r="G12" s="39"/>
      <c r="M12" t="s">
        <v>18</v>
      </c>
      <c r="N12">
        <v>5</v>
      </c>
      <c r="O12">
        <v>20</v>
      </c>
    </row>
    <row r="13" spans="1:15" ht="31.5" x14ac:dyDescent="0.25">
      <c r="A13" s="63">
        <f>IF(ISBLANK(B13),"",_xlfn.ISOWEEKNUM('Journal de travail'!$B13))</f>
        <v>36</v>
      </c>
      <c r="B13" s="34">
        <v>46269</v>
      </c>
      <c r="C13" s="35"/>
      <c r="D13" s="36">
        <v>30</v>
      </c>
      <c r="E13" s="37" t="s">
        <v>16</v>
      </c>
      <c r="F13" s="23" t="s">
        <v>37</v>
      </c>
      <c r="G13" s="40"/>
      <c r="N13">
        <v>6</v>
      </c>
      <c r="O13">
        <v>25</v>
      </c>
    </row>
    <row r="14" spans="1:15" x14ac:dyDescent="0.25">
      <c r="A14" s="62">
        <f>IF(ISBLANK(B14),"",_xlfn.ISOWEEKNUM('Journal de travail'!$B14))</f>
        <v>37</v>
      </c>
      <c r="B14" s="30">
        <v>46276</v>
      </c>
      <c r="C14" s="31"/>
      <c r="D14" s="32">
        <v>30</v>
      </c>
      <c r="E14" s="33" t="s">
        <v>16</v>
      </c>
      <c r="F14" s="23" t="s">
        <v>38</v>
      </c>
      <c r="G14" s="39"/>
      <c r="N14">
        <v>7</v>
      </c>
      <c r="O14">
        <v>30</v>
      </c>
    </row>
    <row r="15" spans="1:15" x14ac:dyDescent="0.25">
      <c r="A15" s="63">
        <f>IF(ISBLANK(B15),"",_xlfn.ISOWEEKNUM('Journal de travail'!$B15))</f>
        <v>37</v>
      </c>
      <c r="B15" s="34">
        <v>46276</v>
      </c>
      <c r="C15" s="35">
        <v>1</v>
      </c>
      <c r="D15" s="36">
        <v>30</v>
      </c>
      <c r="E15" s="37" t="s">
        <v>16</v>
      </c>
      <c r="F15" s="23" t="s">
        <v>39</v>
      </c>
      <c r="G15" s="40"/>
      <c r="N15">
        <v>8</v>
      </c>
      <c r="O15">
        <v>35</v>
      </c>
    </row>
    <row r="16" spans="1:15" x14ac:dyDescent="0.25">
      <c r="A16" s="62">
        <f>IF(ISBLANK(B16),"",_xlfn.ISOWEEKNUM('Journal de travail'!$B16))</f>
        <v>37</v>
      </c>
      <c r="B16" s="30">
        <v>46276</v>
      </c>
      <c r="C16" s="31"/>
      <c r="D16" s="32">
        <v>30</v>
      </c>
      <c r="E16" s="33" t="s">
        <v>16</v>
      </c>
      <c r="F16" s="23" t="s">
        <v>41</v>
      </c>
      <c r="G16" s="39" t="s">
        <v>40</v>
      </c>
      <c r="O16">
        <v>40</v>
      </c>
    </row>
    <row r="17" spans="1:15" x14ac:dyDescent="0.25">
      <c r="A17" s="63">
        <f>IF(ISBLANK(B17),"",_xlfn.ISOWEEKNUM('Journal de travail'!$B17))</f>
        <v>37</v>
      </c>
      <c r="B17" s="34">
        <v>46276</v>
      </c>
      <c r="C17" s="35"/>
      <c r="D17" s="36">
        <v>30</v>
      </c>
      <c r="E17" s="37" t="s">
        <v>16</v>
      </c>
      <c r="F17" s="23" t="s">
        <v>42</v>
      </c>
      <c r="G17" s="40" t="s">
        <v>40</v>
      </c>
      <c r="O17">
        <v>45</v>
      </c>
    </row>
    <row r="18" spans="1:15" ht="31.5" x14ac:dyDescent="0.25">
      <c r="A18" s="62">
        <f>IF(ISBLANK(B18),"",_xlfn.ISOWEEKNUM('Journal de travail'!$B18))</f>
        <v>38</v>
      </c>
      <c r="B18" s="30">
        <v>46283</v>
      </c>
      <c r="C18" s="31">
        <v>1</v>
      </c>
      <c r="D18" s="32">
        <v>0</v>
      </c>
      <c r="E18" s="33" t="s">
        <v>16</v>
      </c>
      <c r="F18" s="23" t="s">
        <v>43</v>
      </c>
      <c r="G18" s="39"/>
      <c r="O18">
        <v>50</v>
      </c>
    </row>
    <row r="19" spans="1:15" ht="47.25" x14ac:dyDescent="0.25">
      <c r="A19" s="63">
        <f>IF(ISBLANK(B19),"",_xlfn.ISOWEEKNUM('Journal de travail'!$B19))</f>
        <v>38</v>
      </c>
      <c r="B19" s="34">
        <v>46283</v>
      </c>
      <c r="C19" s="35">
        <v>1</v>
      </c>
      <c r="D19" s="36">
        <v>30</v>
      </c>
      <c r="E19" s="37" t="s">
        <v>16</v>
      </c>
      <c r="F19" s="23" t="s">
        <v>44</v>
      </c>
      <c r="G19" s="40"/>
      <c r="O19">
        <v>55</v>
      </c>
    </row>
    <row r="20" spans="1:15" ht="31.5" x14ac:dyDescent="0.25">
      <c r="A20" s="62">
        <f>IF(ISBLANK(B20),"",_xlfn.ISOWEEKNUM('Journal de travail'!$B20))</f>
        <v>39</v>
      </c>
      <c r="B20" s="30">
        <v>46288</v>
      </c>
      <c r="C20" s="31">
        <v>1</v>
      </c>
      <c r="D20" s="32">
        <v>0</v>
      </c>
      <c r="E20" s="33" t="s">
        <v>16</v>
      </c>
      <c r="F20" s="23" t="s">
        <v>45</v>
      </c>
      <c r="G20" s="39" t="s">
        <v>46</v>
      </c>
    </row>
    <row r="21" spans="1:15" ht="47.25" x14ac:dyDescent="0.25">
      <c r="A21" s="63">
        <f>IF(ISBLANK(B21),"",_xlfn.ISOWEEKNUM('Journal de travail'!$B21))</f>
        <v>39</v>
      </c>
      <c r="B21" s="34">
        <v>46290</v>
      </c>
      <c r="C21" s="35"/>
      <c r="D21" s="36">
        <v>30</v>
      </c>
      <c r="E21" s="37" t="s">
        <v>16</v>
      </c>
      <c r="F21" s="23" t="s">
        <v>47</v>
      </c>
      <c r="G21" s="40"/>
    </row>
    <row r="22" spans="1:15" x14ac:dyDescent="0.25">
      <c r="A22" s="62">
        <f>IF(ISBLANK(B22),"",_xlfn.ISOWEEKNUM('Journal de travail'!$B22))</f>
        <v>39</v>
      </c>
      <c r="B22" s="30">
        <v>46290</v>
      </c>
      <c r="C22" s="31"/>
      <c r="D22" s="32">
        <v>20</v>
      </c>
      <c r="E22" s="33" t="s">
        <v>16</v>
      </c>
      <c r="F22" s="23" t="s">
        <v>48</v>
      </c>
      <c r="G22" s="39"/>
    </row>
    <row r="23" spans="1:15" ht="47.25" x14ac:dyDescent="0.25">
      <c r="A23" s="63">
        <f>IF(ISBLANK(B23),"",_xlfn.ISOWEEKNUM('Journal de travail'!$B23))</f>
        <v>40</v>
      </c>
      <c r="B23" s="34">
        <v>46297</v>
      </c>
      <c r="C23" s="35">
        <v>2</v>
      </c>
      <c r="D23" s="36">
        <v>30</v>
      </c>
      <c r="E23" s="37" t="s">
        <v>16</v>
      </c>
      <c r="F23" s="23" t="s">
        <v>49</v>
      </c>
      <c r="G23" s="40"/>
    </row>
    <row r="24" spans="1:15" ht="31.5" x14ac:dyDescent="0.25">
      <c r="A24" s="62">
        <f>IF(ISBLANK(B24),"",_xlfn.ISOWEEKNUM('Journal de travail'!$B24))</f>
        <v>40</v>
      </c>
      <c r="B24" s="30">
        <v>46297</v>
      </c>
      <c r="C24" s="31"/>
      <c r="D24" s="32">
        <v>30</v>
      </c>
      <c r="E24" s="33" t="s">
        <v>16</v>
      </c>
      <c r="F24" s="23" t="s">
        <v>50</v>
      </c>
      <c r="G24" s="39"/>
    </row>
    <row r="25" spans="1:15" ht="47.25" x14ac:dyDescent="0.25">
      <c r="A25" s="63">
        <f>IF(ISBLANK(B25),"",_xlfn.ISOWEEKNUM('Journal de travail'!$B25))</f>
        <v>40</v>
      </c>
      <c r="B25" s="34">
        <v>46298</v>
      </c>
      <c r="C25" s="35">
        <v>1</v>
      </c>
      <c r="D25" s="36">
        <v>0</v>
      </c>
      <c r="E25" s="37" t="s">
        <v>16</v>
      </c>
      <c r="F25" s="23" t="s">
        <v>51</v>
      </c>
      <c r="G25" s="40" t="s">
        <v>53</v>
      </c>
    </row>
    <row r="26" spans="1:15" x14ac:dyDescent="0.25">
      <c r="A26" s="62">
        <f>IF(ISBLANK(B26),"",_xlfn.ISOWEEKNUM('Journal de travail'!$B26))</f>
        <v>40</v>
      </c>
      <c r="B26" s="30">
        <v>46298</v>
      </c>
      <c r="C26" s="31"/>
      <c r="D26" s="32">
        <v>30</v>
      </c>
      <c r="E26" s="33" t="s">
        <v>16</v>
      </c>
      <c r="F26" s="23" t="s">
        <v>52</v>
      </c>
      <c r="G26" s="39" t="s">
        <v>53</v>
      </c>
    </row>
    <row r="27" spans="1:15" x14ac:dyDescent="0.25">
      <c r="A27" s="63">
        <f>IF(ISBLANK(B27),"",_xlfn.ISOWEEKNUM('Journal de travail'!$B27))</f>
        <v>40</v>
      </c>
      <c r="B27" s="34">
        <v>46299</v>
      </c>
      <c r="C27" s="35"/>
      <c r="D27" s="36">
        <v>20</v>
      </c>
      <c r="E27" s="37" t="s">
        <v>16</v>
      </c>
      <c r="F27" s="23" t="s">
        <v>54</v>
      </c>
      <c r="G27" s="40" t="s">
        <v>53</v>
      </c>
    </row>
    <row r="28" spans="1:15" x14ac:dyDescent="0.25">
      <c r="A28" s="62">
        <f>IF(ISBLANK(B28),"",_xlfn.ISOWEEKNUM('Journal de travail'!$B28))</f>
        <v>40</v>
      </c>
      <c r="B28" s="30">
        <v>46299</v>
      </c>
      <c r="C28" s="31">
        <v>1</v>
      </c>
      <c r="D28" s="32"/>
      <c r="E28" s="33" t="s">
        <v>17</v>
      </c>
      <c r="F28" s="22" t="s">
        <v>55</v>
      </c>
      <c r="G28" s="39" t="s">
        <v>53</v>
      </c>
    </row>
    <row r="29" spans="1:15" x14ac:dyDescent="0.25">
      <c r="A29" s="63" t="str">
        <f>IF(ISBLANK(B29),"",_xlfn.ISOWEEKNUM('Journal de travail'!$B29))</f>
        <v/>
      </c>
      <c r="B29" s="34"/>
      <c r="C29" s="35"/>
      <c r="D29" s="36"/>
      <c r="E29" s="37"/>
      <c r="F29" s="22"/>
      <c r="G29" s="40"/>
    </row>
    <row r="30" spans="1:15" ht="31.5" x14ac:dyDescent="0.25">
      <c r="A30" s="62">
        <f>IF(ISBLANK(B30),"",_xlfn.ISOWEEKNUM('Journal de travail'!$B30))</f>
        <v>41</v>
      </c>
      <c r="B30" s="30">
        <v>46300</v>
      </c>
      <c r="C30" s="31">
        <v>3</v>
      </c>
      <c r="D30" s="32"/>
      <c r="E30" s="33" t="s">
        <v>17</v>
      </c>
      <c r="F30" s="23" t="s">
        <v>56</v>
      </c>
      <c r="G30" s="39"/>
    </row>
    <row r="31" spans="1:15" x14ac:dyDescent="0.25">
      <c r="A31" s="63" t="str">
        <f>IF(ISBLANK(B31),"",_xlfn.ISOWEEKNUM('Journal de travail'!$B31))</f>
        <v/>
      </c>
      <c r="B31" s="34"/>
      <c r="C31" s="35"/>
      <c r="D31" s="36"/>
      <c r="E31" s="37"/>
      <c r="F31" s="22"/>
      <c r="G31" s="40"/>
    </row>
    <row r="32" spans="1:15" x14ac:dyDescent="0.25">
      <c r="A32" s="62" t="str">
        <f>IF(ISBLANK(B32),"",_xlfn.ISOWEEKNUM('Journal de travail'!$B32))</f>
        <v/>
      </c>
      <c r="B32" s="30"/>
      <c r="C32" s="31"/>
      <c r="D32" s="32"/>
      <c r="E32" s="33"/>
      <c r="F32" s="23"/>
      <c r="G32" s="39"/>
    </row>
    <row r="33" spans="1:7" x14ac:dyDescent="0.25">
      <c r="A33" s="63" t="str">
        <f>IF(ISBLANK(B33),"",_xlfn.ISOWEEKNUM('Journal de travail'!$B33))</f>
        <v/>
      </c>
      <c r="B33" s="34"/>
      <c r="C33" s="35"/>
      <c r="D33" s="36"/>
      <c r="E33" s="37"/>
      <c r="F33" s="22"/>
      <c r="G33" s="40"/>
    </row>
    <row r="34" spans="1:7" x14ac:dyDescent="0.25">
      <c r="A34" s="62" t="str">
        <f>IF(ISBLANK(B34),"",_xlfn.ISOWEEKNUM('Journal de travail'!$B34))</f>
        <v/>
      </c>
      <c r="B34" s="30"/>
      <c r="C34" s="31"/>
      <c r="D34" s="32"/>
      <c r="E34" s="33"/>
      <c r="F34" s="22"/>
      <c r="G34" s="39"/>
    </row>
    <row r="35" spans="1:7" x14ac:dyDescent="0.25">
      <c r="A35" s="63" t="str">
        <f>IF(ISBLANK(B35),"",_xlfn.ISOWEEKNUM('Journal de travail'!$B35))</f>
        <v/>
      </c>
      <c r="B35" s="34"/>
      <c r="C35" s="35"/>
      <c r="D35" s="36"/>
      <c r="E35" s="37"/>
      <c r="F35" s="23"/>
      <c r="G35" s="40"/>
    </row>
    <row r="36" spans="1:7" x14ac:dyDescent="0.25">
      <c r="A36" s="62" t="str">
        <f>IF(ISBLANK(B36),"",_xlfn.ISOWEEKNUM('Journal de travail'!$B36))</f>
        <v/>
      </c>
      <c r="B36" s="30"/>
      <c r="C36" s="31"/>
      <c r="D36" s="32"/>
      <c r="E36" s="33"/>
      <c r="F36" s="22"/>
      <c r="G36" s="39"/>
    </row>
    <row r="37" spans="1:7" x14ac:dyDescent="0.25">
      <c r="A37" s="63" t="str">
        <f>IF(ISBLANK(B37),"",_xlfn.ISOWEEKNUM('Journal de travail'!$B37))</f>
        <v/>
      </c>
      <c r="B37" s="34"/>
      <c r="C37" s="35"/>
      <c r="D37" s="36"/>
      <c r="E37" s="37"/>
      <c r="F37" s="22"/>
      <c r="G37" s="40"/>
    </row>
    <row r="38" spans="1:7" x14ac:dyDescent="0.25">
      <c r="A38" s="62" t="str">
        <f>IF(ISBLANK(B38),"",_xlfn.ISOWEEKNUM('Journal de travail'!$B38))</f>
        <v/>
      </c>
      <c r="B38" s="30"/>
      <c r="C38" s="31"/>
      <c r="D38" s="32"/>
      <c r="E38" s="33"/>
      <c r="F38" s="22"/>
      <c r="G38" s="39"/>
    </row>
    <row r="39" spans="1:7" x14ac:dyDescent="0.25">
      <c r="A39" s="63" t="str">
        <f>IF(ISBLANK(B39),"",_xlfn.ISOWEEKNUM('Journal de travail'!$B39))</f>
        <v/>
      </c>
      <c r="B39" s="34"/>
      <c r="C39" s="35"/>
      <c r="D39" s="36"/>
      <c r="E39" s="37"/>
      <c r="F39" s="22"/>
      <c r="G39" s="40"/>
    </row>
    <row r="40" spans="1:7" x14ac:dyDescent="0.25">
      <c r="A40" s="62" t="str">
        <f>IF(ISBLANK(B40),"",_xlfn.ISOWEEKNUM('Journal de travail'!$B40))</f>
        <v/>
      </c>
      <c r="B40" s="30"/>
      <c r="C40" s="31"/>
      <c r="D40" s="32"/>
      <c r="E40" s="33"/>
      <c r="F40" s="22"/>
      <c r="G40" s="39"/>
    </row>
    <row r="41" spans="1:7" x14ac:dyDescent="0.25">
      <c r="A41" s="63" t="str">
        <f>IF(ISBLANK(B41),"",_xlfn.ISOWEEKNUM('Journal de travail'!$B41))</f>
        <v/>
      </c>
      <c r="B41" s="34"/>
      <c r="C41" s="35"/>
      <c r="D41" s="36"/>
      <c r="E41" s="37"/>
      <c r="F41" s="22"/>
      <c r="G41" s="40"/>
    </row>
    <row r="42" spans="1:7" x14ac:dyDescent="0.25">
      <c r="A42" s="62" t="str">
        <f>IF(ISBLANK(B42),"",_xlfn.ISOWEEKNUM('Journal de travail'!$B42))</f>
        <v/>
      </c>
      <c r="B42" s="30"/>
      <c r="C42" s="31"/>
      <c r="D42" s="32"/>
      <c r="E42" s="33"/>
      <c r="F42" s="22"/>
      <c r="G42" s="39"/>
    </row>
    <row r="43" spans="1:7" x14ac:dyDescent="0.25">
      <c r="A43" s="63" t="str">
        <f>IF(ISBLANK(B43),"",_xlfn.ISOWEEKNUM('Journal de travail'!$B43))</f>
        <v/>
      </c>
      <c r="B43" s="34"/>
      <c r="C43" s="35"/>
      <c r="D43" s="36"/>
      <c r="E43" s="37"/>
      <c r="F43" s="22"/>
      <c r="G43" s="40"/>
    </row>
    <row r="44" spans="1:7" x14ac:dyDescent="0.25">
      <c r="A44" s="62" t="str">
        <f>IF(ISBLANK(B44),"",_xlfn.ISOWEEKNUM('Journal de travail'!$B44))</f>
        <v/>
      </c>
      <c r="B44" s="30"/>
      <c r="C44" s="31"/>
      <c r="D44" s="32"/>
      <c r="E44" s="33"/>
      <c r="F44" s="22"/>
      <c r="G44" s="39"/>
    </row>
    <row r="45" spans="1:7" x14ac:dyDescent="0.25">
      <c r="A45" s="63" t="str">
        <f>IF(ISBLANK(B45),"",_xlfn.ISOWEEKNUM('Journal de travail'!$B45))</f>
        <v/>
      </c>
      <c r="B45" s="34"/>
      <c r="C45" s="35"/>
      <c r="D45" s="36"/>
      <c r="E45" s="37"/>
      <c r="F45" s="22"/>
      <c r="G45" s="40"/>
    </row>
    <row r="46" spans="1:7" x14ac:dyDescent="0.25">
      <c r="A46" s="62" t="str">
        <f>IF(ISBLANK(B46),"",_xlfn.ISOWEEKNUM('Journal de travail'!$B46))</f>
        <v/>
      </c>
      <c r="B46" s="30"/>
      <c r="C46" s="31"/>
      <c r="D46" s="32"/>
      <c r="E46" s="33"/>
      <c r="F46" s="22"/>
      <c r="G46" s="39"/>
    </row>
    <row r="47" spans="1:7" x14ac:dyDescent="0.25">
      <c r="A47" s="63" t="str">
        <f>IF(ISBLANK(B47),"",_xlfn.ISOWEEKNUM('Journal de travail'!$B47))</f>
        <v/>
      </c>
      <c r="B47" s="34"/>
      <c r="C47" s="35"/>
      <c r="D47" s="36"/>
      <c r="E47" s="37"/>
      <c r="F47" s="22"/>
      <c r="G47" s="40"/>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G8" sqref="G8"/>
    </sheetView>
  </sheetViews>
  <sheetFormatPr baseColWidth="10"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88</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0</v>
      </c>
      <c r="C6">
        <f t="shared" ref="C6:C10" si="0">SUM(A6:B6)</f>
        <v>60</v>
      </c>
      <c r="E6" s="70" t="str">
        <f>'Journal de travail'!M8</f>
        <v>Analyse</v>
      </c>
      <c r="F6" s="71" t="str">
        <f>QUOTIENT(SUM(A6:B6),60)&amp;" h "&amp;TEXT(MOD(SUM(A6:B6),60), "00")&amp;" min"</f>
        <v>1 h 00 min</v>
      </c>
      <c r="G6" s="72">
        <f>SUM(A6:B6)/$C$11</f>
        <v>5.0209205020920501E-2</v>
      </c>
      <c r="L6" s="51" t="str">
        <f>'Journal de travail'!M8</f>
        <v>Analyse</v>
      </c>
      <c r="M6" s="52" t="str">
        <f>INT($F$2*N6)&amp;" h "&amp;TEXT(ROUND(MOD($F$2*N6,1)*60,0),"00")&amp;" m"</f>
        <v>17 h 36 m</v>
      </c>
      <c r="N6" s="58">
        <v>0.2</v>
      </c>
    </row>
    <row r="7" spans="1:14" x14ac:dyDescent="0.3">
      <c r="A7">
        <f>SUMIF('Journal de travail'!$E$7:$E$532,Plannification!E7,'Journal de travail'!$C$7:$C$532)*60</f>
        <v>420</v>
      </c>
      <c r="B7">
        <f>SUMIF('Journal de travail'!$E$7:$E$532,Plannification!E7,'Journal de travail'!$D$7:$D$532)</f>
        <v>340</v>
      </c>
      <c r="C7">
        <f t="shared" si="0"/>
        <v>760</v>
      </c>
      <c r="E7" s="73" t="str">
        <f>'Journal de travail'!M9</f>
        <v>Implémentation</v>
      </c>
      <c r="F7" s="74" t="str">
        <f t="shared" ref="F7:F11" si="1">QUOTIENT(SUM(A7:B7),60)&amp;" h "&amp;TEXT(MOD(SUM(A7:B7),60), "00")&amp;" min"</f>
        <v>12 h 40 min</v>
      </c>
      <c r="G7" s="75">
        <f t="shared" ref="G7:G9" si="2">SUM(A7:B7)/$C$11</f>
        <v>0.63598326359832635</v>
      </c>
      <c r="L7" s="53" t="str">
        <f>'Journal de travail'!M9</f>
        <v>Implémentation</v>
      </c>
      <c r="M7" s="52" t="str">
        <f t="shared" ref="M7:M10" si="3">INT($F$2*N7)&amp;" h "&amp;TEXT(ROUND(MOD($F$2*N7,1)*60,0),"00")&amp;" m"</f>
        <v>44 h 00 m</v>
      </c>
      <c r="N7" s="59">
        <v>0.5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8 h 48 m</v>
      </c>
      <c r="N8" s="58">
        <v>0.1</v>
      </c>
    </row>
    <row r="9" spans="1:14" x14ac:dyDescent="0.3">
      <c r="A9">
        <f>SUMIF('Journal de travail'!$E$7:$E$532,Plannification!E9,'Journal de travail'!$C$7:$C$532)*60</f>
        <v>300</v>
      </c>
      <c r="B9">
        <f>SUMIF('Journal de travail'!$E$7:$E$532,Plannification!E9,'Journal de travail'!$D$7:$D$532)</f>
        <v>75</v>
      </c>
      <c r="C9">
        <f t="shared" si="0"/>
        <v>375</v>
      </c>
      <c r="E9" s="77" t="str">
        <f>'Journal de travail'!M11</f>
        <v>Documentation</v>
      </c>
      <c r="F9" s="74" t="str">
        <f t="shared" si="1"/>
        <v>6 h 15 min</v>
      </c>
      <c r="G9" s="75">
        <f t="shared" si="2"/>
        <v>0.31380753138075312</v>
      </c>
      <c r="L9" s="55" t="str">
        <f>'Journal de travail'!M11</f>
        <v>Documentation</v>
      </c>
      <c r="M9" s="52" t="str">
        <f t="shared" si="3"/>
        <v>17 h 36 m</v>
      </c>
      <c r="N9" s="59">
        <v>0.2</v>
      </c>
    </row>
    <row r="10" spans="1:14"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780</v>
      </c>
      <c r="B11">
        <f>SUM(B6:B10)</f>
        <v>415</v>
      </c>
      <c r="C11">
        <f>SUM(A11:B11)</f>
        <v>1195</v>
      </c>
      <c r="E11" s="81" t="s">
        <v>29</v>
      </c>
      <c r="F11" s="71" t="str">
        <f t="shared" si="1"/>
        <v>19 h 55 min</v>
      </c>
      <c r="G11" s="82">
        <f>C11/C12</f>
        <v>0.22632575757575757</v>
      </c>
      <c r="L11" s="56" t="s">
        <v>29</v>
      </c>
      <c r="M11" s="57"/>
      <c r="N11" s="60">
        <f>SUM(N6:N10)</f>
        <v>1</v>
      </c>
    </row>
    <row r="12" spans="1:14" x14ac:dyDescent="0.3">
      <c r="C12">
        <f>F2*60</f>
        <v>5280</v>
      </c>
    </row>
    <row r="13" spans="1:14" x14ac:dyDescent="0.3">
      <c r="F13" s="43"/>
    </row>
  </sheetData>
  <sheetProtection algorithmName="SHA-512" hashValue="5aGPoTqGmkyjsdpSMN178N1WBFC1VMTKFkm66m+6Yog7xX7DUJiACAUjm3QdOBaqrz5f2f7Cd0Udr+YLoex+Rw==" saltValue="y9meuOEPmAMrI+vrG0x/l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zoomScaleNormal="100" workbookViewId="0">
      <selection activeCell="R14" sqref="R14"/>
    </sheetView>
  </sheetViews>
  <sheetFormatPr baseColWidth="10"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1C931FEC57CD24D841BB655C8BA0DFF" ma:contentTypeVersion="12" ma:contentTypeDescription="Crée un document." ma:contentTypeScope="" ma:versionID="f210a10b50758f5c26f5e6d0f6112e94">
  <xsd:schema xmlns:xsd="http://www.w3.org/2001/XMLSchema" xmlns:xs="http://www.w3.org/2001/XMLSchema" xmlns:p="http://schemas.microsoft.com/office/2006/metadata/properties" xmlns:ns2="3eb094ff-ec8d-44d8-be06-94ad3ec8832a" xmlns:ns3="4356f79f-5386-4bda-9d92-82d8bd7b074e" targetNamespace="http://schemas.microsoft.com/office/2006/metadata/properties" ma:root="true" ma:fieldsID="7077db147fa9f705bc2534cfd13fe774" ns2:_="" ns3:_="">
    <xsd:import namespace="3eb094ff-ec8d-44d8-be06-94ad3ec8832a"/>
    <xsd:import namespace="4356f79f-5386-4bda-9d92-82d8bd7b074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b094ff-ec8d-44d8-be06-94ad3ec8832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356f79f-5386-4bda-9d92-82d8bd7b074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73a841-596c-4be8-af39-2504078c3bb2}" ma:internalName="TaxCatchAll" ma:showField="CatchAllData" ma:web="4356f79f-5386-4bda-9d92-82d8bd7b074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4356f79f-5386-4bda-9d92-82d8bd7b074e" xsi:nil="true"/>
    <lcf76f155ced4ddcb4097134ff3c332f xmlns="3eb094ff-ec8d-44d8-be06-94ad3ec8832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CC7F4A39-09D3-4CB7-8797-AEDEE0DBA3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b094ff-ec8d-44d8-be06-94ad3ec8832a"/>
    <ds:schemaRef ds:uri="4356f79f-5386-4bda-9d92-82d8bd7b07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4356f79f-5386-4bda-9d92-82d8bd7b074e"/>
    <ds:schemaRef ds:uri="3eb094ff-ec8d-44d8-be06-94ad3ec8832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Hugo Schweizer</cp:lastModifiedBy>
  <cp:revision/>
  <dcterms:created xsi:type="dcterms:W3CDTF">2023-11-21T20:00:34Z</dcterms:created>
  <dcterms:modified xsi:type="dcterms:W3CDTF">2026-10-05T08:41:44Z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0x01010051C931FEC57CD24D841BB655C8BA0DFF</vt:lpwstr>
  </property>
  <property fmtid="{D5CDD505-2E9C-101B-9397-08002B2CF9AE}" pid="3" name="MediaServiceImageTags">
    <vt:lpwstr/>
  </property>
</Properties>
</file>