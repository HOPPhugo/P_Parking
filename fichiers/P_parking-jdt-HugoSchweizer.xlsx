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P_parking\fichiers\"/>
    </mc:Choice>
  </mc:AlternateContent>
  <xr:revisionPtr revIDLastSave="0" documentId="13_ncr:1_{64BCBC6C-58CE-4B3B-A935-9CA33925CEF7}" xr6:coauthVersionLast="47" xr6:coauthVersionMax="47" xr10:uidLastSave="{00000000-0000-0000-0000-000000000000}"/>
  <bookViews>
    <workbookView xWindow="-120" yWindow="-120" windowWidth="29040" windowHeight="1572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<sst xmlns="http://schemas.openxmlformats.org/spreadsheetml/2006/main" count="49" uniqueCount="37">
  <si>
    <t>Journal de travail</t>
  </si>
  <si>
    <t>Auteur:</t>
  </si>
  <si>
    <t>Schweizer Hugo</t>
  </si>
  <si>
    <t>Projet:</t>
  </si>
  <si>
    <t>Temps total:</t>
  </si>
  <si>
    <t>Date: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</si>
  <si>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</si>
  <si>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</si>
  <si>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</si>
  <si>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</si>
  <si>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</si>
  <si>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</si>
  <si>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</si>
  <si>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</si>
  <si>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Analyse</t>
  </si>
  <si>
    <t>Test</t>
  </si>
  <si>
    <t>Implémentation</t>
  </si>
  <si>
    <t>Documentation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</si>
  <si>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</si>
  <si>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</si>
  <si>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</si>
  <si>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</si>
  <si>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</si>
  <si>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</si>
  <si>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</si>
  <si>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</si>
  <si>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</si>
  <si>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</si>
  <si>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</si>
  <si>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</si>
  <si>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P_Parking</t>
  </si>
  <si>
    <t>28.08.2026 au 30.10.2026 - P_Parking</t>
  </si>
  <si>
    <t>Introduction au module</t>
  </si>
  <si>
    <t>Completion du rapport</t>
  </si>
  <si>
    <t>Remplissage de la planification</t>
  </si>
  <si>
    <t>J'ai aidé un camarade pour github DeskTop</t>
  </si>
  <si>
    <t>Planification finie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</si>
</sst>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60</c:v>
                </c:pt>
                <c:pt idx="1">
                  <c:v>0</c:v>
                </c:pt>
                <c:pt idx="2">
                  <c:v>0</c:v>
                </c:pt>
                <c:pt idx="3">
                  <c:v>135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877-BF46-A280-9AE4DAD1572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0.2</c:v>
                </c:pt>
                <c:pt idx="1">
                  <c:v>0.5</c:v>
                </c:pt>
                <c:pt idx="2">
                  <c:v>0.1</c:v>
                </c:pt>
                <c:pt idx="3">
                  <c:v>0.2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dLbl>
              <c:idx val="4"/>
              <c:layout>
                <c:manualLayout>
                  <c:x val="-3.183571491795857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FA4-1D44-BA94-80D9B5CA27D4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0.2</c:v>
                </c:pt>
                <c:pt idx="1">
                  <c:v>0.5</c:v>
                </c:pt>
                <c:pt idx="2">
                  <c:v>0.1</c:v>
                </c:pt>
                <c:pt idx="3">
                  <c:v>0.2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dLbl>
              <c:idx val="4"/>
              <c:layout>
                <c:manualLayout>
                  <c:x val="3.4031281464024517E-2"/>
                  <c:y val="-3.088793290531091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A4-1D44-BA94-80D9B5CA27D4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5"/>
                <c:pt idx="0">
                  <c:v>0.30769230769230771</c:v>
                </c:pt>
                <c:pt idx="1">
                  <c:v>0</c:v>
                </c:pt>
                <c:pt idx="2">
                  <c:v>0</c:v>
                </c:pt>
                <c:pt idx="3">
                  <c:v>0.69230769230769229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topLeftCell="C1" zoomScale="115" zoomScaleNormal="115" workbookViewId="0">
      <pane ySplit="6" topLeftCell="A7" activePane="bottomLeft" state="frozen"/>
      <selection pane="bottomLeft" activeCell="F14" sqref="F14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6" t="s">
        <v>1</v>
      </c>
      <c r="B2" s="86"/>
      <c r="C2" s="84" t="s">
        <v>2</v>
      </c>
      <c r="D2" s="84"/>
      <c r="E2" s="84"/>
      <c r="F2" s="5" t="s">
        <v>3</v>
      </c>
      <c r="G2" s="64" t="s">
        <v>30</v>
      </c>
    </row>
    <row r="3" spans="1:15" ht="23.25" x14ac:dyDescent="0.35">
      <c r="A3" s="86" t="s">
        <v>4</v>
      </c>
      <c r="B3" s="86"/>
      <c r="C3" s="67" t="str">
        <f>QUOTIENT(E4,60)&amp;" heures "&amp;MOD(E4,60)&amp;" minutes"</f>
        <v>3 heures 45 minutes</v>
      </c>
      <c r="D3" s="17"/>
      <c r="E3" s="3"/>
      <c r="F3" s="4" t="s">
        <v>5</v>
      </c>
      <c r="G3" s="65" t="s">
        <v>31</v>
      </c>
    </row>
    <row r="4" spans="1:15" ht="23.25" hidden="1" x14ac:dyDescent="0.35">
      <c r="B4" s="5"/>
      <c r="C4" s="17">
        <f>SUBTOTAL(9,$C$7:$C$531)*60</f>
        <v>120</v>
      </c>
      <c r="D4" s="17">
        <f>SUBTOTAL(9,$D$7:$D$531)</f>
        <v>105</v>
      </c>
      <c r="E4" s="24">
        <f>SUM(C4:D4)</f>
        <v>225</v>
      </c>
      <c r="F4" s="4"/>
      <c r="G4" s="6"/>
    </row>
    <row r="5" spans="1:15" x14ac:dyDescent="0.25">
      <c r="C5" s="85" t="s">
        <v>6</v>
      </c>
      <c r="D5" s="85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9</v>
      </c>
      <c r="D6" s="16" t="s">
        <v>10</v>
      </c>
      <c r="E6" s="14" t="s">
        <v>11</v>
      </c>
      <c r="F6" s="14" t="s">
        <v>12</v>
      </c>
      <c r="G6" s="14" t="s">
        <v>13</v>
      </c>
    </row>
    <row r="7" spans="1:15" x14ac:dyDescent="0.25">
      <c r="A7" s="61">
        <f>IF(ISBLANK(B7),"",_xlfn.ISOWEEKNUM('Journal de travail'!$B7))</f>
        <v>35</v>
      </c>
      <c r="B7" s="26">
        <v>46262</v>
      </c>
      <c r="C7" s="27">
        <v>1</v>
      </c>
      <c r="D7" s="28"/>
      <c r="E7" s="29" t="s">
        <v>14</v>
      </c>
      <c r="F7" s="23" t="s">
        <v>32</v>
      </c>
      <c r="G7" s="38"/>
    </row>
    <row r="8" spans="1:15" x14ac:dyDescent="0.25">
      <c r="A8" s="62">
        <f>IF(ISBLANK(B8),"",_xlfn.ISOWEEKNUM('Journal de travail'!$B8))</f>
        <v>35</v>
      </c>
      <c r="B8" s="30">
        <v>46262</v>
      </c>
      <c r="C8" s="31">
        <v>1</v>
      </c>
      <c r="D8" s="32"/>
      <c r="E8" s="33" t="s">
        <v>17</v>
      </c>
      <c r="F8" s="23" t="s">
        <v>33</v>
      </c>
      <c r="G8" s="39"/>
      <c r="M8" t="s">
        <v>14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35</v>
      </c>
      <c r="B9" s="34">
        <v>46262</v>
      </c>
      <c r="C9" s="35"/>
      <c r="D9" s="36">
        <v>30</v>
      </c>
      <c r="E9" s="37" t="s">
        <v>17</v>
      </c>
      <c r="F9" s="23" t="s">
        <v>34</v>
      </c>
      <c r="G9" s="40"/>
      <c r="M9" t="s">
        <v>16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35</v>
      </c>
      <c r="B10" s="30">
        <v>46262</v>
      </c>
      <c r="C10" s="31"/>
      <c r="D10" s="32">
        <v>30</v>
      </c>
      <c r="E10" s="33"/>
      <c r="F10" s="23" t="s">
        <v>35</v>
      </c>
      <c r="G10" s="39"/>
      <c r="M10" t="s">
        <v>15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35</v>
      </c>
      <c r="B11" s="34">
        <v>46262</v>
      </c>
      <c r="C11" s="35"/>
      <c r="D11" s="36">
        <v>30</v>
      </c>
      <c r="E11" s="37" t="s">
        <v>17</v>
      </c>
      <c r="F11" s="23" t="s">
        <v>34</v>
      </c>
      <c r="G11" s="40"/>
      <c r="M11" t="s">
        <v>17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36</v>
      </c>
      <c r="B12" s="30">
        <v>46269</v>
      </c>
      <c r="C12" s="31"/>
      <c r="D12" s="32">
        <v>15</v>
      </c>
      <c r="E12" s="33" t="s">
        <v>17</v>
      </c>
      <c r="F12" s="23" t="s">
        <v>36</v>
      </c>
      <c r="G12" s="39"/>
      <c r="M12" t="s">
        <v>18</v>
      </c>
      <c r="N12">
        <v>5</v>
      </c>
      <c r="O12">
        <v>20</v>
      </c>
    </row>
    <row r="13" spans="1:15" x14ac:dyDescent="0.25">
      <c r="A13" s="63" t="str">
        <f>IF(ISBLANK(B13),"",_xlfn.ISOWEEKNUM('Journal de travail'!$B13))</f>
        <v/>
      </c>
      <c r="B13" s="34"/>
      <c r="C13" s="35"/>
      <c r="D13" s="36"/>
      <c r="E13" s="37"/>
      <c r="F13" s="23"/>
      <c r="G13" s="40"/>
      <c r="N13">
        <v>6</v>
      </c>
      <c r="O13">
        <v>25</v>
      </c>
    </row>
    <row r="14" spans="1:15" x14ac:dyDescent="0.25">
      <c r="A14" s="62" t="str">
        <f>IF(ISBLANK(B14),"",_xlfn.ISOWEEKNUM('Journal de travail'!$B14))</f>
        <v/>
      </c>
      <c r="B14" s="30"/>
      <c r="C14" s="31"/>
      <c r="D14" s="32"/>
      <c r="E14" s="33"/>
      <c r="F14" s="23"/>
      <c r="G14" s="39"/>
      <c r="N14">
        <v>7</v>
      </c>
      <c r="O14">
        <v>30</v>
      </c>
    </row>
    <row r="15" spans="1:15" x14ac:dyDescent="0.25">
      <c r="A15" s="63" t="str">
        <f>IF(ISBLANK(B15),"",_xlfn.ISOWEEKNUM('Journal de travail'!$B15))</f>
        <v/>
      </c>
      <c r="B15" s="34"/>
      <c r="C15" s="35"/>
      <c r="D15" s="36"/>
      <c r="E15" s="37"/>
      <c r="F15" s="23"/>
      <c r="G15" s="40"/>
      <c r="N15">
        <v>8</v>
      </c>
      <c r="O15">
        <v>35</v>
      </c>
    </row>
    <row r="16" spans="1:15" x14ac:dyDescent="0.25">
      <c r="A16" s="62" t="str">
        <f>IF(ISBLANK(B16),"",_xlfn.ISOWEEKNUM('Journal de travail'!$B16))</f>
        <v/>
      </c>
      <c r="B16" s="30"/>
      <c r="C16" s="31"/>
      <c r="D16" s="32"/>
      <c r="E16" s="33"/>
      <c r="F16" s="23"/>
      <c r="G16" s="39"/>
      <c r="O16">
        <v>40</v>
      </c>
    </row>
    <row r="17" spans="1:15" x14ac:dyDescent="0.25">
      <c r="A17" s="63" t="str">
        <f>IF(ISBLANK(B17),"",_xlfn.ISOWEEKNUM('Journal de travail'!$B17))</f>
        <v/>
      </c>
      <c r="B17" s="34"/>
      <c r="C17" s="35"/>
      <c r="D17" s="36"/>
      <c r="E17" s="37"/>
      <c r="F17" s="23"/>
      <c r="G17" s="40"/>
      <c r="O17">
        <v>45</v>
      </c>
    </row>
    <row r="18" spans="1:15" x14ac:dyDescent="0.25">
      <c r="A18" s="62" t="str">
        <f>IF(ISBLANK(B18),"",_xlfn.ISOWEEKNUM('Journal de travail'!$B18))</f>
        <v/>
      </c>
      <c r="B18" s="30"/>
      <c r="C18" s="31"/>
      <c r="D18" s="32"/>
      <c r="E18" s="33"/>
      <c r="F18" s="23"/>
      <c r="G18" s="39"/>
      <c r="O18">
        <v>50</v>
      </c>
    </row>
    <row r="19" spans="1:15" x14ac:dyDescent="0.25">
      <c r="A19" s="63" t="str">
        <f>IF(ISBLANK(B19),"",_xlfn.ISOWEEKNUM('Journal de travail'!$B19))</f>
        <v/>
      </c>
      <c r="B19" s="34"/>
      <c r="C19" s="35"/>
      <c r="D19" s="36"/>
      <c r="E19" s="37"/>
      <c r="F19" s="23"/>
      <c r="G19" s="40"/>
      <c r="O19">
        <v>55</v>
      </c>
    </row>
    <row r="20" spans="1:15" x14ac:dyDescent="0.2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39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40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1" workbookViewId="0">
      <selection activeCell="G8" sqref="G8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19</v>
      </c>
      <c r="F2" s="68">
        <v>88</v>
      </c>
      <c r="G2" s="66" t="s">
        <v>20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21</v>
      </c>
      <c r="L4" s="66" t="s">
        <v>22</v>
      </c>
      <c r="M4" s="41"/>
      <c r="N4" s="19"/>
    </row>
    <row r="5" spans="1:14" x14ac:dyDescent="0.3">
      <c r="A5" t="s">
        <v>23</v>
      </c>
      <c r="B5" t="s">
        <v>24</v>
      </c>
      <c r="C5" s="41" t="s">
        <v>25</v>
      </c>
      <c r="D5" s="42"/>
      <c r="E5" s="45" t="s">
        <v>26</v>
      </c>
      <c r="F5" s="46" t="s">
        <v>27</v>
      </c>
      <c r="G5" s="47" t="s">
        <v>28</v>
      </c>
      <c r="L5" s="48" t="s">
        <v>26</v>
      </c>
      <c r="M5" s="49" t="s">
        <v>27</v>
      </c>
      <c r="N5" s="50" t="s">
        <v>28</v>
      </c>
    </row>
    <row r="6" spans="1:14" x14ac:dyDescent="0.3">
      <c r="A6">
        <f>SUMIF('Journal de travail'!$E$7:$E$532,Plannification!E6,'Journal de travail'!$C$7:$C$532)*60</f>
        <v>60</v>
      </c>
      <c r="B6">
        <f>SUMIF('Journal de travail'!$E$7:$E$532,Plannification!E6,'Journal de travail'!$D$7:$D$532)</f>
        <v>0</v>
      </c>
      <c r="C6">
        <f t="shared" ref="C6:C10" si="0">SUM(A6:B6)</f>
        <v>60</v>
      </c>
      <c r="E6" s="70" t="str">
        <f>'Journal de travail'!M8</f>
        <v>Analyse</v>
      </c>
      <c r="F6" s="71" t="str">
        <f>QUOTIENT(SUM(A6:B6),60)&amp;" h "&amp;TEXT(MOD(SUM(A6:B6),60), "00")&amp;" min"</f>
        <v>1 h 00 min</v>
      </c>
      <c r="G6" s="72">
        <f>SUM(A6:B6)/$C$11</f>
        <v>0.30769230769230771</v>
      </c>
      <c r="L6" s="51" t="str">
        <f>'Journal de travail'!M8</f>
        <v>Analyse</v>
      </c>
      <c r="M6" s="52" t="str">
        <f>INT($F$2*N6)&amp;" h "&amp;TEXT(ROUND(MOD($F$2*N6,1)*60,0),"00")&amp;" m"</f>
        <v>17 h 36 m</v>
      </c>
      <c r="N6" s="58">
        <v>0.2</v>
      </c>
    </row>
    <row r="7" spans="1:14" x14ac:dyDescent="0.3">
      <c r="A7">
        <f>SUMIF('Journal de travail'!$E$7:$E$532,Plannification!E7,'Journal de travail'!$C$7:$C$532)*60</f>
        <v>0</v>
      </c>
      <c r="B7">
        <f>SUMIF('Journal de travail'!$E$7:$E$532,Plannification!E7,'Journal de travail'!$D$7:$D$532)</f>
        <v>0</v>
      </c>
      <c r="C7">
        <f t="shared" si="0"/>
        <v>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0 h 00 min</v>
      </c>
      <c r="G7" s="75">
        <f t="shared" ref="G7:G9" si="2">SUM(A7:B7)/$C$11</f>
        <v>0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44 h 00 m</v>
      </c>
      <c r="N7" s="59">
        <v>0.5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8 h 48 m</v>
      </c>
      <c r="N8" s="58">
        <v>0.1</v>
      </c>
    </row>
    <row r="9" spans="1:14" x14ac:dyDescent="0.3">
      <c r="A9">
        <f>SUMIF('Journal de travail'!$E$7:$E$532,Plannification!E9,'Journal de travail'!$C$7:$C$532)*60</f>
        <v>60</v>
      </c>
      <c r="B9">
        <f>SUMIF('Journal de travail'!$E$7:$E$532,Plannification!E9,'Journal de travail'!$D$7:$D$532)</f>
        <v>75</v>
      </c>
      <c r="C9">
        <f t="shared" si="0"/>
        <v>135</v>
      </c>
      <c r="E9" s="77" t="str">
        <f>'Journal de travail'!M11</f>
        <v>Documentation</v>
      </c>
      <c r="F9" s="74" t="str">
        <f t="shared" si="1"/>
        <v>2 h 15 min</v>
      </c>
      <c r="G9" s="75">
        <f t="shared" si="2"/>
        <v>0.69230769230769229</v>
      </c>
      <c r="L9" s="55" t="str">
        <f>'Journal de travail'!M11</f>
        <v>Documentation</v>
      </c>
      <c r="M9" s="52" t="str">
        <f t="shared" si="3"/>
        <v>17 h 36 m</v>
      </c>
      <c r="N9" s="59">
        <v>0.2</v>
      </c>
    </row>
    <row r="10" spans="1:14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18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18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120</v>
      </c>
      <c r="B11">
        <f>SUM(B6:B10)</f>
        <v>75</v>
      </c>
      <c r="C11">
        <f>SUM(A11:B11)</f>
        <v>195</v>
      </c>
      <c r="E11" s="81" t="s">
        <v>29</v>
      </c>
      <c r="F11" s="71" t="str">
        <f t="shared" si="1"/>
        <v>3 h 15 min</v>
      </c>
      <c r="G11" s="82">
        <f>C11/C12</f>
        <v>3.6931818181818184E-2</v>
      </c>
      <c r="L11" s="56" t="s">
        <v>29</v>
      </c>
      <c r="M11" s="57"/>
      <c r="N11" s="60">
        <f>SUM(N6:N10)</f>
        <v>1</v>
      </c>
    </row>
    <row r="12" spans="1:14" x14ac:dyDescent="0.3">
      <c r="C12">
        <f>F2*60</f>
        <v>5280</v>
      </c>
    </row>
    <row r="13" spans="1:14" x14ac:dyDescent="0.3">
      <c r="F13" s="43"/>
    </row>
  </sheetData>
  <sheetProtection algorithmName="SHA-512" hashValue="5aGPoTqGmkyjsdpSMN178N1WBFC1VMTKFkm66m+6Yog7xX7DUJiACAUjm3QdOBaqrz5f2f7Cd0Udr+YLoex+Rw==" saltValue="y9meuOEPmAMrI+vrG0x/l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1C931FEC57CD24D841BB655C8BA0DFF" ma:contentTypeVersion="12" ma:contentTypeDescription="Crée un document." ma:contentTypeScope="" ma:versionID="f210a10b50758f5c26f5e6d0f6112e94">
  <xsd:schema xmlns:xsd="http://www.w3.org/2001/XMLSchema" xmlns:xs="http://www.w3.org/2001/XMLSchema" xmlns:p="http://schemas.microsoft.com/office/2006/metadata/properties" xmlns:ns2="3eb094ff-ec8d-44d8-be06-94ad3ec8832a" xmlns:ns3="4356f79f-5386-4bda-9d92-82d8bd7b074e" targetNamespace="http://schemas.microsoft.com/office/2006/metadata/properties" ma:root="true" ma:fieldsID="7077db147fa9f705bc2534cfd13fe774" ns2:_="" ns3:_="">
    <xsd:import namespace="3eb094ff-ec8d-44d8-be06-94ad3ec8832a"/>
    <xsd:import namespace="4356f79f-5386-4bda-9d92-82d8bd7b07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b094ff-ec8d-44d8-be06-94ad3ec883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56f79f-5386-4bda-9d92-82d8bd7b074e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973a841-596c-4be8-af39-2504078c3bb2}" ma:internalName="TaxCatchAll" ma:showField="CatchAllData" ma:web="4356f79f-5386-4bda-9d92-82d8bd7b074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356f79f-5386-4bda-9d92-82d8bd7b074e" xsi:nil="true"/>
    <lcf76f155ced4ddcb4097134ff3c332f xmlns="3eb094ff-ec8d-44d8-be06-94ad3ec8832a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C7F4A39-09D3-4CB7-8797-AEDEE0DBA30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b094ff-ec8d-44d8-be06-94ad3ec8832a"/>
    <ds:schemaRef ds:uri="4356f79f-5386-4bda-9d92-82d8bd7b07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4356f79f-5386-4bda-9d92-82d8bd7b074e"/>
    <ds:schemaRef ds:uri="3eb094ff-ec8d-44d8-be06-94ad3ec8832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Hugo Schweizer</cp:lastModifiedBy>
  <cp:revision/>
  <dcterms:created xsi:type="dcterms:W3CDTF">2023-11-21T20:00:34Z</dcterms:created>
  <dcterms:modified xsi:type="dcterms:W3CDTF">2026-09-04T06:18:21Z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0x01010051C931FEC57CD24D841BB655C8BA0DFF</vt:lpwstr>
  </property>
  <property fmtid="{D5CDD505-2E9C-101B-9397-08002B2CF9AE}" pid="3" name="MediaServiceImageTags">
    <vt:lpwstr/>
  </property>
</Properties>
</file>